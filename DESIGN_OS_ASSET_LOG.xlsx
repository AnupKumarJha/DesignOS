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" sheetId="2" state="visible" r:id="rId4"/>
    <sheet name="Sources" sheetId="3" state="visible" r:id="rId5"/>
    <sheet name="Categories" sheetId="4" state="visible" r:id="rId6"/>
    <sheet name="Pip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<sst xmlns="http://schemas.openxmlformats.org/spreadsheetml/2006/main" count="2828" uniqueCount="828">
  <si>
    <t xml:space="preserve">DESIGN OS — ASSET LIBRARY LOG</t>
  </si>
  <si>
    <t xml:space="preserve">Tracking 200–500 furniture &amp; decor GLB assets sourced for the Three.js Design OS</t>
  </si>
  <si>
    <t xml:space="preserve">Target items</t>
  </si>
  <si>
    <t xml:space="preserve">Published</t>
  </si>
  <si>
    <t xml:space="preserve">In progress</t>
  </si>
  <si>
    <t xml:space="preserve">Backlog</t>
  </si>
  <si>
    <t xml:space="preserve">Progress</t>
  </si>
  <si>
    <t xml:space="preserve">(of 200 target — bump to 500 once 200 are published)</t>
  </si>
  <si>
    <t xml:space="preserve">Coverage by room</t>
  </si>
  <si>
    <t xml:space="preserve">Room</t>
  </si>
  <si>
    <t xml:space="preserve">Target</t>
  </si>
  <si>
    <t xml:space="preserve">% Done</t>
  </si>
  <si>
    <t xml:space="preserve">Kitchen</t>
  </si>
  <si>
    <t xml:space="preserve">Bedroom</t>
  </si>
  <si>
    <t xml:space="preserve">Living</t>
  </si>
  <si>
    <t xml:space="preserve">Dining</t>
  </si>
  <si>
    <t xml:space="preserve">Bathroom</t>
  </si>
  <si>
    <t xml:space="preserve">Office</t>
  </si>
  <si>
    <t xml:space="preserve">Kids</t>
  </si>
  <si>
    <t xml:space="preserve">Outdoor</t>
  </si>
  <si>
    <t xml:space="preserve">Lighting</t>
  </si>
  <si>
    <t xml:space="preserve">Decor</t>
  </si>
  <si>
    <t xml:space="preserve">#</t>
  </si>
  <si>
    <t xml:space="preserve">Asset ID</t>
  </si>
  <si>
    <t xml:space="preserve">Display name</t>
  </si>
  <si>
    <t xml:space="preserve">Group</t>
  </si>
  <si>
    <t xml:space="preserve">Room(s)</t>
  </si>
  <si>
    <t xml:space="preserve">Furniture type</t>
  </si>
  <si>
    <t xml:space="preserve">Style</t>
  </si>
  <si>
    <t xml:space="preserve">Variants</t>
  </si>
  <si>
    <t xml:space="preserve">Source</t>
  </si>
  <si>
    <t xml:space="preserve">Source URL</t>
  </si>
  <si>
    <t xml:space="preserve">License</t>
  </si>
  <si>
    <t xml:space="preserve">Format</t>
  </si>
  <si>
    <t xml:space="preserve">Hero?</t>
  </si>
  <si>
    <t xml:space="preserve">Status</t>
  </si>
  <si>
    <t xml:space="preserve">Notes / Next action</t>
  </si>
  <si>
    <t xml:space="preserve">base_cabinet_600</t>
  </si>
  <si>
    <t xml:space="preserve">Base Cabinet 600</t>
  </si>
  <si>
    <t xml:space="preserve">Base Units</t>
  </si>
  <si>
    <t xml:space="preserve">CABINET_BASE</t>
  </si>
  <si>
    <t xml:space="preserve">Modern</t>
  </si>
  <si>
    <t xml:space="preserve">Sketchfab</t>
  </si>
  <si>
    <t xml:space="preserve">CC-BY</t>
  </si>
  <si>
    <t xml:space="preserve">glb</t>
  </si>
  <si>
    <t xml:space="preserve">backlog</t>
  </si>
  <si>
    <t xml:space="preserve">base_cabinet_900</t>
  </si>
  <si>
    <t xml:space="preserve">Base Cabinet 900</t>
  </si>
  <si>
    <t xml:space="preserve">Indian</t>
  </si>
  <si>
    <t xml:space="preserve">Poly Haven</t>
  </si>
  <si>
    <t xml:space="preserve">CC0</t>
  </si>
  <si>
    <t xml:space="preserve">base_cabinet_1200</t>
  </si>
  <si>
    <t xml:space="preserve">Base Cabinet 1200</t>
  </si>
  <si>
    <t xml:space="preserve">Scandinavian</t>
  </si>
  <si>
    <t xml:space="preserve">cgtips.org</t>
  </si>
  <si>
    <t xml:space="preserve">Free*</t>
  </si>
  <si>
    <t xml:space="preserve">skp</t>
  </si>
  <si>
    <t xml:space="preserve">pull_out_pantry_300</t>
  </si>
  <si>
    <t xml:space="preserve">Pull-out Pantry 300</t>
  </si>
  <si>
    <t xml:space="preserve">3D Warehouse</t>
  </si>
  <si>
    <t xml:space="preserve">pull_out_pantry_450</t>
  </si>
  <si>
    <t xml:space="preserve">Pull-out Pantry 450</t>
  </si>
  <si>
    <t xml:space="preserve">OpenSource3D</t>
  </si>
  <si>
    <t xml:space="preserve">corner_lazy_susan</t>
  </si>
  <si>
    <t xml:space="preserve">Corner Lazy Susan</t>
  </si>
  <si>
    <t xml:space="preserve">3_drawer_unit_600</t>
  </si>
  <si>
    <t xml:space="preserve">3-Drawer Unit 600</t>
  </si>
  <si>
    <t xml:space="preserve">Drawer Units</t>
  </si>
  <si>
    <t xml:space="preserve">pending</t>
  </si>
  <si>
    <t xml:space="preserve">3_drawer_unit_900</t>
  </si>
  <si>
    <t xml:space="preserve">3-Drawer Unit 900</t>
  </si>
  <si>
    <t xml:space="preserve">cutlery_drawer_600</t>
  </si>
  <si>
    <t xml:space="preserve">Cutlery Drawer 600</t>
  </si>
  <si>
    <t xml:space="preserve">pots__pans_drawer_900</t>
  </si>
  <si>
    <t xml:space="preserve">Pots &amp; Pans Drawer 900</t>
  </si>
  <si>
    <t xml:space="preserve">deep_drawer_600</t>
  </si>
  <si>
    <t xml:space="preserve">Deep Drawer 600</t>
  </si>
  <si>
    <t xml:space="preserve">wall_cabinet_600</t>
  </si>
  <si>
    <t xml:space="preserve">Wall Cabinet 600</t>
  </si>
  <si>
    <t xml:space="preserve">Wall Units</t>
  </si>
  <si>
    <t xml:space="preserve">CABINET_WALL</t>
  </si>
  <si>
    <t xml:space="preserve">wall_cabinet_900</t>
  </si>
  <si>
    <t xml:space="preserve">Wall Cabinet 900</t>
  </si>
  <si>
    <t xml:space="preserve">wall_cabinet_1200</t>
  </si>
  <si>
    <t xml:space="preserve">Wall Cabinet 1200</t>
  </si>
  <si>
    <t xml:space="preserve">glass_front_wall_cabinet</t>
  </si>
  <si>
    <t xml:space="preserve">Glass-front Wall Cabinet</t>
  </si>
  <si>
    <t xml:space="preserve">open_wall_shelf</t>
  </si>
  <si>
    <t xml:space="preserve">Open Wall Shelf</t>
  </si>
  <si>
    <t xml:space="preserve">bridge_cabinet_over_hob</t>
  </si>
  <si>
    <t xml:space="preserve">Bridge Cabinet over Hob</t>
  </si>
  <si>
    <t xml:space="preserve">tall_pantry_600</t>
  </si>
  <si>
    <t xml:space="preserve">Tall Pantry 600</t>
  </si>
  <si>
    <t xml:space="preserve">Tall Units</t>
  </si>
  <si>
    <t xml:space="preserve">CABINET_TALL</t>
  </si>
  <si>
    <t xml:space="preserve">tall_larder_900</t>
  </si>
  <si>
    <t xml:space="preserve">Tall Larder 900</t>
  </si>
  <si>
    <t xml:space="preserve">tall_broom_cupboard</t>
  </si>
  <si>
    <t xml:space="preserve">Tall Broom Cupboard</t>
  </si>
  <si>
    <t xml:space="preserve">built_in_oven_tower</t>
  </si>
  <si>
    <t xml:space="preserve">Built-in Oven Tower</t>
  </si>
  <si>
    <t xml:space="preserve">built_in_fridge_tower</t>
  </si>
  <si>
    <t xml:space="preserve">Built-in Fridge Tower</t>
  </si>
  <si>
    <t xml:space="preserve">single_bowl_sink_unit</t>
  </si>
  <si>
    <t xml:space="preserve">Single-bowl Sink Unit</t>
  </si>
  <si>
    <t xml:space="preserve">Sink &amp; Hob</t>
  </si>
  <si>
    <t xml:space="preserve">SINK_UNIT</t>
  </si>
  <si>
    <t xml:space="preserve">double_bowl_sink_unit</t>
  </si>
  <si>
    <t xml:space="preserve">Double-bowl Sink Unit</t>
  </si>
  <si>
    <t xml:space="preserve">farmhouse_sink_unit</t>
  </si>
  <si>
    <t xml:space="preserve">Farmhouse Sink Unit</t>
  </si>
  <si>
    <t xml:space="preserve">hob_unit_600</t>
  </si>
  <si>
    <t xml:space="preserve">Hob Unit 600</t>
  </si>
  <si>
    <t xml:space="preserve">hob_unit_900</t>
  </si>
  <si>
    <t xml:space="preserve">Hob Unit 900</t>
  </si>
  <si>
    <t xml:space="preserve">chimney_hood_wall</t>
  </si>
  <si>
    <t xml:space="preserve">Chimney Hood Wall</t>
  </si>
  <si>
    <t xml:space="preserve">chimney_hood_island</t>
  </si>
  <si>
    <t xml:space="preserve">Chimney Hood Island</t>
  </si>
  <si>
    <t xml:space="preserve">refrigerator_double_door</t>
  </si>
  <si>
    <t xml:space="preserve">Refrigerator Double-Door</t>
  </si>
  <si>
    <t xml:space="preserve">Appliances</t>
  </si>
  <si>
    <t xml:space="preserve">refrigerator_side_by_side</t>
  </si>
  <si>
    <t xml:space="preserve">Refrigerator Side-by-Side</t>
  </si>
  <si>
    <t xml:space="preserve">microwave_built_in</t>
  </si>
  <si>
    <t xml:space="preserve">Microwave Built-in</t>
  </si>
  <si>
    <t xml:space="preserve">dishwasher_built_in</t>
  </si>
  <si>
    <t xml:space="preserve">Dishwasher Built-in</t>
  </si>
  <si>
    <t xml:space="preserve">wine_cooler</t>
  </si>
  <si>
    <t xml:space="preserve">Wine Cooler</t>
  </si>
  <si>
    <t xml:space="preserve">in-review</t>
  </si>
  <si>
    <t xml:space="preserve">coffee_machine_built_in</t>
  </si>
  <si>
    <t xml:space="preserve">Coffee Machine Built-in</t>
  </si>
  <si>
    <t xml:space="preserve">water_purifier_wall</t>
  </si>
  <si>
    <t xml:space="preserve">Water Purifier Wall</t>
  </si>
  <si>
    <t xml:space="preserve">washing_machine_front_load</t>
  </si>
  <si>
    <t xml:space="preserve">Washing Machine Front-load</t>
  </si>
  <si>
    <t xml:space="preserve">quartz_countertop_slab</t>
  </si>
  <si>
    <t xml:space="preserve">Quartz Countertop Slab</t>
  </si>
  <si>
    <t xml:space="preserve">Counters &amp; Backs</t>
  </si>
  <si>
    <t xml:space="preserve">granite_countertop_slab</t>
  </si>
  <si>
    <t xml:space="preserve">Granite Countertop Slab</t>
  </si>
  <si>
    <t xml:space="preserve">marble_backsplash_panel</t>
  </si>
  <si>
    <t xml:space="preserve">Marble Backsplash Panel</t>
  </si>
  <si>
    <t xml:space="preserve">subway_tile_backsplash</t>
  </si>
  <si>
    <t xml:space="preserve">Subway Tile Backsplash</t>
  </si>
  <si>
    <t xml:space="preserve">patterned_tile_backsplash</t>
  </si>
  <si>
    <t xml:space="preserve">Patterned Tile Backsplash</t>
  </si>
  <si>
    <t xml:space="preserve">bar_stool_high</t>
  </si>
  <si>
    <t xml:space="preserve">Bar Stool High</t>
  </si>
  <si>
    <t xml:space="preserve">Breakfast Counter</t>
  </si>
  <si>
    <t xml:space="preserve">CHAIR</t>
  </si>
  <si>
    <t xml:space="preserve">bar_stool_counter</t>
  </si>
  <si>
    <t xml:space="preserve">Bar Stool Counter</t>
  </si>
  <si>
    <t xml:space="preserve">breakfast_counter_top</t>
  </si>
  <si>
    <t xml:space="preserve">Breakfast Counter Top</t>
  </si>
  <si>
    <t xml:space="preserve">single_bed_1000</t>
  </si>
  <si>
    <t xml:space="preserve">Single Bed 1000</t>
  </si>
  <si>
    <t xml:space="preserve">Beds</t>
  </si>
  <si>
    <t xml:space="preserve">BED</t>
  </si>
  <si>
    <t xml:space="preserve">YES</t>
  </si>
  <si>
    <t xml:space="preserve">king_bed_plain</t>
  </si>
  <si>
    <t xml:space="preserve">King Bed (Plain)</t>
  </si>
  <si>
    <t xml:space="preserve">king_bed_tufted</t>
  </si>
  <si>
    <t xml:space="preserve">King Bed (Tufted)</t>
  </si>
  <si>
    <t xml:space="preserve">king_bed_wingback</t>
  </si>
  <si>
    <t xml:space="preserve">King Bed (Wingback)</t>
  </si>
  <si>
    <t xml:space="preserve">queen_bed_storage</t>
  </si>
  <si>
    <t xml:space="preserve">Queen Bed (Storage)</t>
  </si>
  <si>
    <t xml:space="preserve">platform_bed_low</t>
  </si>
  <si>
    <t xml:space="preserve">Platform Bed Low</t>
  </si>
  <si>
    <t xml:space="preserve">four_poster_bed</t>
  </si>
  <si>
    <t xml:space="preserve">Four-Poster Bed</t>
  </si>
  <si>
    <t xml:space="preserve">bunk_bed_twin</t>
  </si>
  <si>
    <t xml:space="preserve">Bunk Bed Twin</t>
  </si>
  <si>
    <t xml:space="preserve">sliding_wardrobe_2_door_1800</t>
  </si>
  <si>
    <t xml:space="preserve">Sliding Wardrobe 2-door 1800</t>
  </si>
  <si>
    <t xml:space="preserve">Wardrobes</t>
  </si>
  <si>
    <t xml:space="preserve">WARDROBE</t>
  </si>
  <si>
    <t xml:space="preserve">sliding_wardrobe_3_door_2700</t>
  </si>
  <si>
    <t xml:space="preserve">Sliding Wardrobe 3-door 2700</t>
  </si>
  <si>
    <t xml:space="preserve">openable_wardrobe_4_door</t>
  </si>
  <si>
    <t xml:space="preserve">Openable Wardrobe 4-door</t>
  </si>
  <si>
    <t xml:space="preserve">walk_in_wardrobe_modular</t>
  </si>
  <si>
    <t xml:space="preserve">Walk-in Wardrobe Modular</t>
  </si>
  <si>
    <t xml:space="preserve">loft_wardrobe_top</t>
  </si>
  <si>
    <t xml:space="preserve">Loft Wardrobe Top</t>
  </si>
  <si>
    <t xml:space="preserve">bedside_table_1_drawer</t>
  </si>
  <si>
    <t xml:space="preserve">Bedside Table 1-Drawer</t>
  </si>
  <si>
    <t xml:space="preserve">Bedside</t>
  </si>
  <si>
    <t xml:space="preserve">NIGHTSTAND</t>
  </si>
  <si>
    <t xml:space="preserve">bedside_table_2_drawer</t>
  </si>
  <si>
    <t xml:space="preserve">Bedside Table 2-Drawer</t>
  </si>
  <si>
    <t xml:space="preserve">floating_nightstand</t>
  </si>
  <si>
    <t xml:space="preserve">Floating Nightstand</t>
  </si>
  <si>
    <t xml:space="preserve">mid_century_nightstand</t>
  </si>
  <si>
    <t xml:space="preserve">Mid-century Nightstand</t>
  </si>
  <si>
    <t xml:space="preserve">industrial_nightstand</t>
  </si>
  <si>
    <t xml:space="preserve">Industrial Nightstand</t>
  </si>
  <si>
    <t xml:space="preserve">chest_of_drawers_5_drawer</t>
  </si>
  <si>
    <t xml:space="preserve">Chest of Drawers 5-drawer</t>
  </si>
  <si>
    <t xml:space="preserve">Dressers</t>
  </si>
  <si>
    <t xml:space="preserve">DRESSER</t>
  </si>
  <si>
    <t xml:space="preserve">6_drawer_lowboy</t>
  </si>
  <si>
    <t xml:space="preserve">6-drawer Lowboy</t>
  </si>
  <si>
    <t xml:space="preserve">dresser_with_mirror</t>
  </si>
  <si>
    <t xml:space="preserve">Dresser with Mirror</t>
  </si>
  <si>
    <t xml:space="preserve">tallboy_dresser</t>
  </si>
  <si>
    <t xml:space="preserve">Tallboy Dresser</t>
  </si>
  <si>
    <t xml:space="preserve">vanity_dressing_table</t>
  </si>
  <si>
    <t xml:space="preserve">Vanity Dressing Table</t>
  </si>
  <si>
    <t xml:space="preserve">stool_for_dresser</t>
  </si>
  <si>
    <t xml:space="preserve">Stool for Dresser</t>
  </si>
  <si>
    <t xml:space="preserve">bench_at_foot_of_bed</t>
  </si>
  <si>
    <t xml:space="preserve">Bench at Foot of Bed</t>
  </si>
  <si>
    <t xml:space="preserve">Bedroom Accent</t>
  </si>
  <si>
    <t xml:space="preserve">full_length_mirror_floor</t>
  </si>
  <si>
    <t xml:space="preserve">Full-length Mirror Floor</t>
  </si>
  <si>
    <t xml:space="preserve">wall_mirror_round</t>
  </si>
  <si>
    <t xml:space="preserve">Wall Mirror Round</t>
  </si>
  <si>
    <t xml:space="preserve">bedroom_reading_chair</t>
  </si>
  <si>
    <t xml:space="preserve">Bedroom Reading Chair</t>
  </si>
  <si>
    <t xml:space="preserve">floor_lamp_bedroom</t>
  </si>
  <si>
    <t xml:space="preserve">Floor Lamp Bedroom</t>
  </si>
  <si>
    <t xml:space="preserve">pendant_bedroom</t>
  </si>
  <si>
    <t xml:space="preserve">Pendant Bedroom</t>
  </si>
  <si>
    <t xml:space="preserve">bedroom_rug_6x9</t>
  </si>
  <si>
    <t xml:space="preserve">Bedroom Rug 6x9</t>
  </si>
  <si>
    <t xml:space="preserve">2_seater_sofa</t>
  </si>
  <si>
    <t xml:space="preserve">2-Seater Sofa</t>
  </si>
  <si>
    <t xml:space="preserve">Sofas</t>
  </si>
  <si>
    <t xml:space="preserve">SOFA</t>
  </si>
  <si>
    <t xml:space="preserve">3_seater_sofa</t>
  </si>
  <si>
    <t xml:space="preserve">3-Seater Sofa</t>
  </si>
  <si>
    <t xml:space="preserve">4_seater_sofa</t>
  </si>
  <si>
    <t xml:space="preserve">4-Seater Sofa</t>
  </si>
  <si>
    <t xml:space="preserve">l_shape_sectional_left</t>
  </si>
  <si>
    <t xml:space="preserve">L-Shape Sectional Left</t>
  </si>
  <si>
    <t xml:space="preserve">l_shape_sectional_right</t>
  </si>
  <si>
    <t xml:space="preserve">L-Shape Sectional Right</t>
  </si>
  <si>
    <t xml:space="preserve">u_shape_sectional</t>
  </si>
  <si>
    <t xml:space="preserve">U-Shape Sectional</t>
  </si>
  <si>
    <t xml:space="preserve">chesterfield_sofa</t>
  </si>
  <si>
    <t xml:space="preserve">Chesterfield Sofa</t>
  </si>
  <si>
    <t xml:space="preserve">mid_century_sofa</t>
  </si>
  <si>
    <t xml:space="preserve">Mid-century Sofa</t>
  </si>
  <si>
    <t xml:space="preserve">modular_sofa_curved</t>
  </si>
  <si>
    <t xml:space="preserve">Modular Sofa Curved</t>
  </si>
  <si>
    <t xml:space="preserve">recliner_single</t>
  </si>
  <si>
    <t xml:space="preserve">Recliner Single</t>
  </si>
  <si>
    <t xml:space="preserve">accent_armchair_tub</t>
  </si>
  <si>
    <t xml:space="preserve">Accent Armchair Tub</t>
  </si>
  <si>
    <t xml:space="preserve">Accent Chairs</t>
  </si>
  <si>
    <t xml:space="preserve">accent_armchair_wingback</t>
  </si>
  <si>
    <t xml:space="preserve">Accent Armchair Wingback</t>
  </si>
  <si>
    <t xml:space="preserve">accent_slipper_chair</t>
  </si>
  <si>
    <t xml:space="preserve">Accent Slipper Chair</t>
  </si>
  <si>
    <t xml:space="preserve">lounge_chair_cane</t>
  </si>
  <si>
    <t xml:space="preserve">Lounge Chair Cane</t>
  </si>
  <si>
    <t xml:space="preserve">eames_lounge_replica</t>
  </si>
  <si>
    <t xml:space="preserve">Eames Lounge Replica</t>
  </si>
  <si>
    <t xml:space="preserve">bean_bag_adult</t>
  </si>
  <si>
    <t xml:space="preserve">Bean Bag Adult</t>
  </si>
  <si>
    <t xml:space="preserve">coffee_table_round_wood</t>
  </si>
  <si>
    <t xml:space="preserve">Coffee Table Round Wood</t>
  </si>
  <si>
    <t xml:space="preserve">Coffee Tables</t>
  </si>
  <si>
    <t xml:space="preserve">COFFEE_TABLE</t>
  </si>
  <si>
    <t xml:space="preserve">coffee_table_square_marble</t>
  </si>
  <si>
    <t xml:space="preserve">Coffee Table Square Marble</t>
  </si>
  <si>
    <t xml:space="preserve">coffee_table_oval_glass</t>
  </si>
  <si>
    <t xml:space="preserve">Coffee Table Oval Glass</t>
  </si>
  <si>
    <t xml:space="preserve">nesting_coffee_tables</t>
  </si>
  <si>
    <t xml:space="preserve">Nesting Coffee Tables</t>
  </si>
  <si>
    <t xml:space="preserve">side_table_round</t>
  </si>
  <si>
    <t xml:space="preserve">Side Table Round</t>
  </si>
  <si>
    <t xml:space="preserve">Side Tables</t>
  </si>
  <si>
    <t xml:space="preserve">TABLE</t>
  </si>
  <si>
    <t xml:space="preserve">side_table_drum</t>
  </si>
  <si>
    <t xml:space="preserve">Side Table Drum</t>
  </si>
  <si>
    <t xml:space="preserve">side_table_c_shape</t>
  </si>
  <si>
    <t xml:space="preserve">Side Table C-shape</t>
  </si>
  <si>
    <t xml:space="preserve">tv_unit_low_wall_mounted</t>
  </si>
  <si>
    <t xml:space="preserve">TV Unit Low Wall-mounted</t>
  </si>
  <si>
    <t xml:space="preserve">TV Units</t>
  </si>
  <si>
    <t xml:space="preserve">TV_UNIT</t>
  </si>
  <si>
    <t xml:space="preserve">tv_unit_floor_standing_2400</t>
  </si>
  <si>
    <t xml:space="preserve">TV Unit Floor-standing 2400</t>
  </si>
  <si>
    <t xml:space="preserve">tv_unit_with_display_shelf</t>
  </si>
  <si>
    <t xml:space="preserve">TV Unit with Display Shelf</t>
  </si>
  <si>
    <t xml:space="preserve">media_wall_panel</t>
  </si>
  <si>
    <t xml:space="preserve">Media Wall Panel</t>
  </si>
  <si>
    <t xml:space="preserve">bookshelf_ladder</t>
  </si>
  <si>
    <t xml:space="preserve">Bookshelf Ladder</t>
  </si>
  <si>
    <t xml:space="preserve">Shelving</t>
  </si>
  <si>
    <t xml:space="preserve">BOOKSHELF</t>
  </si>
  <si>
    <t xml:space="preserve">bookshelf_5_tier</t>
  </si>
  <si>
    <t xml:space="preserve">Bookshelf 5-tier</t>
  </si>
  <si>
    <t xml:space="preserve">open_shelving_cube_4x4</t>
  </si>
  <si>
    <t xml:space="preserve">Open Shelving Cube 4x4</t>
  </si>
  <si>
    <t xml:space="preserve">built_in_niche_shelf</t>
  </si>
  <si>
    <t xml:space="preserve">Built-in Niche Shelf</t>
  </si>
  <si>
    <t xml:space="preserve">console_table_slim</t>
  </si>
  <si>
    <t xml:space="preserve">Console Table Slim</t>
  </si>
  <si>
    <t xml:space="preserve">Living Accent</t>
  </si>
  <si>
    <t xml:space="preserve">CONSOLE</t>
  </si>
  <si>
    <t xml:space="preserve">console_table_demilune</t>
  </si>
  <si>
    <t xml:space="preserve">Console Table Demilune</t>
  </si>
  <si>
    <t xml:space="preserve">ottoman_round</t>
  </si>
  <si>
    <t xml:space="preserve">Ottoman Round</t>
  </si>
  <si>
    <t xml:space="preserve">ottoman_storage_bench</t>
  </si>
  <si>
    <t xml:space="preserve">Ottoman Storage Bench</t>
  </si>
  <si>
    <t xml:space="preserve">pouf_knitted</t>
  </si>
  <si>
    <t xml:space="preserve">Pouf Knitted</t>
  </si>
  <si>
    <t xml:space="preserve">rug_8x10_persian</t>
  </si>
  <si>
    <t xml:space="preserve">Rug 8x10 Persian</t>
  </si>
  <si>
    <t xml:space="preserve">Living Soft</t>
  </si>
  <si>
    <t xml:space="preserve">rug_6x9_modern</t>
  </si>
  <si>
    <t xml:space="preserve">Rug 6x9 Modern</t>
  </si>
  <si>
    <t xml:space="preserve">curtain_linen_floor_length</t>
  </si>
  <si>
    <t xml:space="preserve">Curtain Linen Floor-length</t>
  </si>
  <si>
    <t xml:space="preserve">curtain_sheer</t>
  </si>
  <si>
    <t xml:space="preserve">Curtain Sheer</t>
  </si>
  <si>
    <t xml:space="preserve">dining_table_4_seater_round</t>
  </si>
  <si>
    <t xml:space="preserve">Dining Table 4-seater Round</t>
  </si>
  <si>
    <t xml:space="preserve">Dining Tables</t>
  </si>
  <si>
    <t xml:space="preserve">DINING_TABLE</t>
  </si>
  <si>
    <t xml:space="preserve">dining_table_4_seater_square</t>
  </si>
  <si>
    <t xml:space="preserve">Dining Table 4-seater Square</t>
  </si>
  <si>
    <t xml:space="preserve">dining_table_6_seater_rect</t>
  </si>
  <si>
    <t xml:space="preserve">Dining Table 6-seater Rect</t>
  </si>
  <si>
    <t xml:space="preserve">dining_table_8_seater_rect</t>
  </si>
  <si>
    <t xml:space="preserve">Dining Table 8-seater Rect</t>
  </si>
  <si>
    <t xml:space="preserve">dining_table_extendable</t>
  </si>
  <si>
    <t xml:space="preserve">Dining Table Extendable</t>
  </si>
  <si>
    <t xml:space="preserve">marble_top_dining</t>
  </si>
  <si>
    <t xml:space="preserve">Marble-top Dining</t>
  </si>
  <si>
    <t xml:space="preserve">dining_chair_upholstered</t>
  </si>
  <si>
    <t xml:space="preserve">Dining Chair Upholstered</t>
  </si>
  <si>
    <t xml:space="preserve">Dining Chairs</t>
  </si>
  <si>
    <t xml:space="preserve">dining_chair_wood</t>
  </si>
  <si>
    <t xml:space="preserve">Dining Chair Wood</t>
  </si>
  <si>
    <t xml:space="preserve">dining_chair_cane_back</t>
  </si>
  <si>
    <t xml:space="preserve">Dining Chair Cane-back</t>
  </si>
  <si>
    <t xml:space="preserve">wishbone_chair_replica</t>
  </si>
  <si>
    <t xml:space="preserve">Wishbone Chair Replica</t>
  </si>
  <si>
    <t xml:space="preserve">tolix_chair_metal</t>
  </si>
  <si>
    <t xml:space="preserve">Tolix Chair Metal</t>
  </si>
  <si>
    <t xml:space="preserve">dining_bench</t>
  </si>
  <si>
    <t xml:space="preserve">Dining Bench</t>
  </si>
  <si>
    <t xml:space="preserve">crockery_unit_tall</t>
  </si>
  <si>
    <t xml:space="preserve">Crockery Unit Tall</t>
  </si>
  <si>
    <t xml:space="preserve">Dining Storage</t>
  </si>
  <si>
    <t xml:space="preserve">sideboard__buffet</t>
  </si>
  <si>
    <t xml:space="preserve">Sideboard / Buffet</t>
  </si>
  <si>
    <t xml:space="preserve">wine_rack_floor</t>
  </si>
  <si>
    <t xml:space="preserve">Wine Rack Floor</t>
  </si>
  <si>
    <t xml:space="preserve">bar_cabinet</t>
  </si>
  <si>
    <t xml:space="preserve">Bar Cabinet</t>
  </si>
  <si>
    <t xml:space="preserve">dining_chandelier_linear</t>
  </si>
  <si>
    <t xml:space="preserve">Dining Chandelier Linear</t>
  </si>
  <si>
    <t xml:space="preserve">Dining Lighting</t>
  </si>
  <si>
    <t xml:space="preserve">dining_pendant_cluster</t>
  </si>
  <si>
    <t xml:space="preserve">Dining Pendant Cluster</t>
  </si>
  <si>
    <t xml:space="preserve">dining_pendant_single_large</t>
  </si>
  <si>
    <t xml:space="preserve">Dining Pendant Single Large</t>
  </si>
  <si>
    <t xml:space="preserve">dining_pendant_cone</t>
  </si>
  <si>
    <t xml:space="preserve">Dining Pendant Cone</t>
  </si>
  <si>
    <t xml:space="preserve">vanity_single_sink_600</t>
  </si>
  <si>
    <t xml:space="preserve">Vanity Single-sink 600</t>
  </si>
  <si>
    <t xml:space="preserve">Vanity</t>
  </si>
  <si>
    <t xml:space="preserve">VANITY</t>
  </si>
  <si>
    <t xml:space="preserve">vanity_single_sink_900</t>
  </si>
  <si>
    <t xml:space="preserve">Vanity Single-sink 900</t>
  </si>
  <si>
    <t xml:space="preserve">vanity_double_sink_1500</t>
  </si>
  <si>
    <t xml:space="preserve">Vanity Double-sink 1500</t>
  </si>
  <si>
    <t xml:space="preserve">floating_vanity</t>
  </si>
  <si>
    <t xml:space="preserve">Floating Vanity</t>
  </si>
  <si>
    <t xml:space="preserve">vessel_sink_vanity</t>
  </si>
  <si>
    <t xml:space="preserve">Vessel-sink Vanity</t>
  </si>
  <si>
    <t xml:space="preserve">toilet_wall_hung</t>
  </si>
  <si>
    <t xml:space="preserve">Toilet Wall-hung</t>
  </si>
  <si>
    <t xml:space="preserve">Bath Fixtures</t>
  </si>
  <si>
    <t xml:space="preserve">toilet_floor_mounted</t>
  </si>
  <si>
    <t xml:space="preserve">Toilet Floor-mounted</t>
  </si>
  <si>
    <t xml:space="preserve">bidet</t>
  </si>
  <si>
    <t xml:space="preserve">Bidet</t>
  </si>
  <si>
    <t xml:space="preserve">bathtub_freestanding</t>
  </si>
  <si>
    <t xml:space="preserve">Bathtub Freestanding</t>
  </si>
  <si>
    <t xml:space="preserve">bathtub_built_in</t>
  </si>
  <si>
    <t xml:space="preserve">Bathtub Built-in</t>
  </si>
  <si>
    <t xml:space="preserve">shower_glass_enclosure</t>
  </si>
  <si>
    <t xml:space="preserve">Shower Glass Enclosure</t>
  </si>
  <si>
    <t xml:space="preserve">rain_shower_head</t>
  </si>
  <si>
    <t xml:space="preserve">Rain Shower Head</t>
  </si>
  <si>
    <t xml:space="preserve">hand_held_shower</t>
  </si>
  <si>
    <t xml:space="preserve">Hand-held Shower</t>
  </si>
  <si>
    <t xml:space="preserve">mirror_cabinet_lit</t>
  </si>
  <si>
    <t xml:space="preserve">Mirror Cabinet Lit</t>
  </si>
  <si>
    <t xml:space="preserve">Bath Storage</t>
  </si>
  <si>
    <t xml:space="preserve">MIRROR</t>
  </si>
  <si>
    <t xml:space="preserve">bathroom_mirror_round</t>
  </si>
  <si>
    <t xml:space="preserve">Bathroom Mirror Round</t>
  </si>
  <si>
    <t xml:space="preserve">bathroom_wall_cabinet</t>
  </si>
  <si>
    <t xml:space="preserve">Bathroom Wall Cabinet</t>
  </si>
  <si>
    <t xml:space="preserve">towel_rack_wall</t>
  </si>
  <si>
    <t xml:space="preserve">Towel Rack Wall</t>
  </si>
  <si>
    <t xml:space="preserve">linen_tower</t>
  </si>
  <si>
    <t xml:space="preserve">Linen Tower</t>
  </si>
  <si>
    <t xml:space="preserve">soap_dispenser_set</t>
  </si>
  <si>
    <t xml:space="preserve">Soap Dispenser Set</t>
  </si>
  <si>
    <t xml:space="preserve">Bath Accessories</t>
  </si>
  <si>
    <t xml:space="preserve">toothbrush_holder</t>
  </si>
  <si>
    <t xml:space="preserve">Toothbrush Holder</t>
  </si>
  <si>
    <t xml:space="preserve">office_desk_rect</t>
  </si>
  <si>
    <t xml:space="preserve">Office Desk Rect</t>
  </si>
  <si>
    <t xml:space="preserve">Desks</t>
  </si>
  <si>
    <t xml:space="preserve">DESK</t>
  </si>
  <si>
    <t xml:space="preserve">l_shape_desk</t>
  </si>
  <si>
    <t xml:space="preserve">L-Shape Desk</t>
  </si>
  <si>
    <t xml:space="preserve">standing_desk_adjustable</t>
  </si>
  <si>
    <t xml:space="preserve">Standing Desk Adjustable</t>
  </si>
  <si>
    <t xml:space="preserve">executive_desk</t>
  </si>
  <si>
    <t xml:space="preserve">Executive Desk</t>
  </si>
  <si>
    <t xml:space="preserve">writing_desk_slim</t>
  </si>
  <si>
    <t xml:space="preserve">Writing Desk Slim</t>
  </si>
  <si>
    <t xml:space="preserve">ergonomic_office_chair</t>
  </si>
  <si>
    <t xml:space="preserve">Ergonomic Office Chair</t>
  </si>
  <si>
    <t xml:space="preserve">Office Chairs</t>
  </si>
  <si>
    <t xml:space="preserve">OFFICE_CHAIR</t>
  </si>
  <si>
    <t xml:space="preserve">executive_office_chair</t>
  </si>
  <si>
    <t xml:space="preserve">Executive Office Chair</t>
  </si>
  <si>
    <t xml:space="preserve">mesh_task_chair</t>
  </si>
  <si>
    <t xml:space="preserve">Mesh Task Chair</t>
  </si>
  <si>
    <t xml:space="preserve">drafting_stool</t>
  </si>
  <si>
    <t xml:space="preserve">Drafting Stool</t>
  </si>
  <si>
    <t xml:space="preserve">filing_cabinet_3_drawer</t>
  </si>
  <si>
    <t xml:space="preserve">Filing Cabinet 3-drawer</t>
  </si>
  <si>
    <t xml:space="preserve">Office Storage</t>
  </si>
  <si>
    <t xml:space="preserve">bookcase_office_tall</t>
  </si>
  <si>
    <t xml:space="preserve">Bookcase Office Tall</t>
  </si>
  <si>
    <t xml:space="preserve">office_credenza</t>
  </si>
  <si>
    <t xml:space="preserve">Office Credenza</t>
  </si>
  <si>
    <t xml:space="preserve">whiteboard_wall_mounted</t>
  </si>
  <si>
    <t xml:space="preserve">Whiteboard Wall-mounted</t>
  </si>
  <si>
    <t xml:space="preserve">printer_stand</t>
  </si>
  <si>
    <t xml:space="preserve">Printer Stand</t>
  </si>
  <si>
    <t xml:space="preserve">office_pinboard</t>
  </si>
  <si>
    <t xml:space="preserve">Office Pinboard</t>
  </si>
  <si>
    <t xml:space="preserve">kids_bed_with_slide</t>
  </si>
  <si>
    <t xml:space="preserve">Kids Bed with Slide</t>
  </si>
  <si>
    <t xml:space="preserve">Kids Beds</t>
  </si>
  <si>
    <t xml:space="preserve">toddler_bed_single</t>
  </si>
  <si>
    <t xml:space="preserve">Toddler Bed Single</t>
  </si>
  <si>
    <t xml:space="preserve">bunk_bed_with_study</t>
  </si>
  <si>
    <t xml:space="preserve">Bunk Bed with Study</t>
  </si>
  <si>
    <t xml:space="preserve">kids_study_unit</t>
  </si>
  <si>
    <t xml:space="preserve">Kids Study Unit</t>
  </si>
  <si>
    <t xml:space="preserve">Kids Furniture</t>
  </si>
  <si>
    <t xml:space="preserve">STUDY_UNIT</t>
  </si>
  <si>
    <t xml:space="preserve">kids_chair</t>
  </si>
  <si>
    <t xml:space="preserve">Kids Chair</t>
  </si>
  <si>
    <t xml:space="preserve">kids_bookshelf</t>
  </si>
  <si>
    <t xml:space="preserve">Kids Bookshelf</t>
  </si>
  <si>
    <t xml:space="preserve">toy_storage_cubes</t>
  </si>
  <si>
    <t xml:space="preserve">Toy Storage Cubes</t>
  </si>
  <si>
    <t xml:space="preserve">kids_dresser</t>
  </si>
  <si>
    <t xml:space="preserve">Kids Dresser</t>
  </si>
  <si>
    <t xml:space="preserve">reading_nook_tent</t>
  </si>
  <si>
    <t xml:space="preserve">Reading Nook Tent</t>
  </si>
  <si>
    <t xml:space="preserve">activity_table</t>
  </si>
  <si>
    <t xml:space="preserve">Activity Table</t>
  </si>
  <si>
    <t xml:space="preserve">outdoor_lounge_chair</t>
  </si>
  <si>
    <t xml:space="preserve">Outdoor Lounge Chair</t>
  </si>
  <si>
    <t xml:space="preserve">Outdoor Seating</t>
  </si>
  <si>
    <t xml:space="preserve">outdoor_sofa_2_seater</t>
  </si>
  <si>
    <t xml:space="preserve">Outdoor Sofa 2-seater</t>
  </si>
  <si>
    <t xml:space="preserve">balcony_swing</t>
  </si>
  <si>
    <t xml:space="preserve">Balcony Swing</t>
  </si>
  <si>
    <t xml:space="preserve">hammock</t>
  </si>
  <si>
    <t xml:space="preserve">Hammock</t>
  </si>
  <si>
    <t xml:space="preserve">outdoor_dining_set_4_seater</t>
  </si>
  <si>
    <t xml:space="preserve">Outdoor Dining Set 4-seater</t>
  </si>
  <si>
    <t xml:space="preserve">Outdoor Dining</t>
  </si>
  <si>
    <t xml:space="preserve">outdoor_dining_set_6_seater</t>
  </si>
  <si>
    <t xml:space="preserve">Outdoor Dining Set 6-seater</t>
  </si>
  <si>
    <t xml:space="preserve">patio_bar_set</t>
  </si>
  <si>
    <t xml:space="preserve">Patio Bar Set</t>
  </si>
  <si>
    <t xml:space="preserve">large_floor_planter</t>
  </si>
  <si>
    <t xml:space="preserve">Large Floor Planter</t>
  </si>
  <si>
    <t xml:space="preserve">Planters &amp; Decor</t>
  </si>
  <si>
    <t xml:space="preserve">hanging_planter</t>
  </si>
  <si>
    <t xml:space="preserve">Hanging Planter</t>
  </si>
  <si>
    <t xml:space="preserve">garden_bench</t>
  </si>
  <si>
    <t xml:space="preserve">Garden Bench</t>
  </si>
  <si>
    <t xml:space="preserve">pendant_cone_brass</t>
  </si>
  <si>
    <t xml:space="preserve">Pendant Cone Brass</t>
  </si>
  <si>
    <t xml:space="preserve">Pendant</t>
  </si>
  <si>
    <t xml:space="preserve">pendant_globe</t>
  </si>
  <si>
    <t xml:space="preserve">Pendant Globe</t>
  </si>
  <si>
    <t xml:space="preserve">pendant_dome_black</t>
  </si>
  <si>
    <t xml:space="preserve">Pendant Dome Black</t>
  </si>
  <si>
    <t xml:space="preserve">pendant_cluster_3</t>
  </si>
  <si>
    <t xml:space="preserve">Pendant Cluster 3</t>
  </si>
  <si>
    <t xml:space="preserve">pendant_cluster_5</t>
  </si>
  <si>
    <t xml:space="preserve">Pendant Cluster 5</t>
  </si>
  <si>
    <t xml:space="preserve">pendant_rattan</t>
  </si>
  <si>
    <t xml:space="preserve">Pendant Rattan</t>
  </si>
  <si>
    <t xml:space="preserve">pendant_paper_lantern</t>
  </si>
  <si>
    <t xml:space="preserve">Pendant Paper Lantern</t>
  </si>
  <si>
    <t xml:space="preserve">chandelier_modern_linear</t>
  </si>
  <si>
    <t xml:space="preserve">Chandelier Modern Linear</t>
  </si>
  <si>
    <t xml:space="preserve">Chandelier</t>
  </si>
  <si>
    <t xml:space="preserve">chandelier_crystal_classic</t>
  </si>
  <si>
    <t xml:space="preserve">Chandelier Crystal Classic</t>
  </si>
  <si>
    <t xml:space="preserve">chandelier_sputnik</t>
  </si>
  <si>
    <t xml:space="preserve">Chandelier Sputnik</t>
  </si>
  <si>
    <t xml:space="preserve">chandelier_drum_shade</t>
  </si>
  <si>
    <t xml:space="preserve">Chandelier Drum-shade</t>
  </si>
  <si>
    <t xml:space="preserve">floor_lamp_arc</t>
  </si>
  <si>
    <t xml:space="preserve">Floor Lamp Arc</t>
  </si>
  <si>
    <t xml:space="preserve">Floor Lamp</t>
  </si>
  <si>
    <t xml:space="preserve">floor_lamp_tripod</t>
  </si>
  <si>
    <t xml:space="preserve">Floor Lamp Tripod</t>
  </si>
  <si>
    <t xml:space="preserve">floor_lamp_reading</t>
  </si>
  <si>
    <t xml:space="preserve">Floor Lamp Reading</t>
  </si>
  <si>
    <t xml:space="preserve">floor_lamp_cane</t>
  </si>
  <si>
    <t xml:space="preserve">Floor Lamp Cane</t>
  </si>
  <si>
    <t xml:space="preserve">floor_lamp_globe</t>
  </si>
  <si>
    <t xml:space="preserve">Floor Lamp Globe</t>
  </si>
  <si>
    <t xml:space="preserve">table_lamp_ceramic</t>
  </si>
  <si>
    <t xml:space="preserve">Table Lamp Ceramic</t>
  </si>
  <si>
    <t xml:space="preserve">Table Lamp</t>
  </si>
  <si>
    <t xml:space="preserve">table_lamp_brass</t>
  </si>
  <si>
    <t xml:space="preserve">Table Lamp Brass</t>
  </si>
  <si>
    <t xml:space="preserve">table_lamp_cylinder_linen</t>
  </si>
  <si>
    <t xml:space="preserve">Table Lamp Cylinder Linen</t>
  </si>
  <si>
    <t xml:space="preserve">bedside_lamp_pair</t>
  </si>
  <si>
    <t xml:space="preserve">Bedside Lamp Pair</t>
  </si>
  <si>
    <t xml:space="preserve">sconce_modern_pair</t>
  </si>
  <si>
    <t xml:space="preserve">Sconce Modern Pair</t>
  </si>
  <si>
    <t xml:space="preserve">Wall &amp; Ceiling</t>
  </si>
  <si>
    <t xml:space="preserve">sconce_picture_light</t>
  </si>
  <si>
    <t xml:space="preserve">Sconce Picture Light</t>
  </si>
  <si>
    <t xml:space="preserve">sconce_vanity_bath</t>
  </si>
  <si>
    <t xml:space="preserve">Sconce Vanity Bath</t>
  </si>
  <si>
    <t xml:space="preserve">ceiling_light_flush</t>
  </si>
  <si>
    <t xml:space="preserve">Ceiling Light Flush</t>
  </si>
  <si>
    <t xml:space="preserve">ceiling_fan_with_light</t>
  </si>
  <si>
    <t xml:space="preserve">Ceiling Fan with Light</t>
  </si>
  <si>
    <t xml:space="preserve">recessed_spot</t>
  </si>
  <si>
    <t xml:space="preserve">Recessed Spot</t>
  </si>
  <si>
    <t xml:space="preserve">track_light_bar</t>
  </si>
  <si>
    <t xml:space="preserve">Track Light Bar</t>
  </si>
  <si>
    <t xml:space="preserve">led_strip_cove</t>
  </si>
  <si>
    <t xml:space="preserve">LED Strip Cove</t>
  </si>
  <si>
    <t xml:space="preserve">smart_rgb_floor_lamp</t>
  </si>
  <si>
    <t xml:space="preserve">Smart RGB Floor Lamp</t>
  </si>
  <si>
    <t xml:space="preserve">pendant_kitchen_island_3_set</t>
  </si>
  <si>
    <t xml:space="preserve">Pendant Kitchen Island 3-set</t>
  </si>
  <si>
    <t xml:space="preserve">fiddle_leaf_fig_tall</t>
  </si>
  <si>
    <t xml:space="preserve">Fiddle Leaf Fig Tall</t>
  </si>
  <si>
    <t xml:space="preserve">Plants</t>
  </si>
  <si>
    <t xml:space="preserve">monstera_medium</t>
  </si>
  <si>
    <t xml:space="preserve">Monstera Medium</t>
  </si>
  <si>
    <t xml:space="preserve">snake_plant_small</t>
  </si>
  <si>
    <t xml:space="preserve">Snake Plant Small</t>
  </si>
  <si>
    <t xml:space="preserve">olive_tree_indoor</t>
  </si>
  <si>
    <t xml:space="preserve">Olive Tree Indoor</t>
  </si>
  <si>
    <t xml:space="preserve">bonsai_tabletop</t>
  </si>
  <si>
    <t xml:space="preserve">Bonsai Tabletop</t>
  </si>
  <si>
    <t xml:space="preserve">hanging_pothos</t>
  </si>
  <si>
    <t xml:space="preserve">Hanging Pothos</t>
  </si>
  <si>
    <t xml:space="preserve">wall_art_abstract_3_panel</t>
  </si>
  <si>
    <t xml:space="preserve">Wall Art Abstract 3-panel</t>
  </si>
  <si>
    <t xml:space="preserve">Wall Art</t>
  </si>
  <si>
    <t xml:space="preserve">wall_art_photography_frame</t>
  </si>
  <si>
    <t xml:space="preserve">Wall Art Photography Frame</t>
  </si>
  <si>
    <t xml:space="preserve">wall_art_mirror_sunburst</t>
  </si>
  <si>
    <t xml:space="preserve">Wall Art Mirror Sunburst</t>
  </si>
  <si>
    <t xml:space="preserve">wall_clock_modern</t>
  </si>
  <si>
    <t xml:space="preserve">Wall Clock Modern</t>
  </si>
  <si>
    <t xml:space="preserve">wall_clock_vintage</t>
  </si>
  <si>
    <t xml:space="preserve">Wall Clock Vintage</t>
  </si>
  <si>
    <t xml:space="preserve">throw_pillow_set_linen</t>
  </si>
  <si>
    <t xml:space="preserve">Throw Pillow Set Linen</t>
  </si>
  <si>
    <t xml:space="preserve">Soft Decor</t>
  </si>
  <si>
    <t xml:space="preserve">throw_pillow_boucle</t>
  </si>
  <si>
    <t xml:space="preserve">Throw Pillow Boucle</t>
  </si>
  <si>
    <t xml:space="preserve">throw_blanket_knit</t>
  </si>
  <si>
    <t xml:space="preserve">Throw Blanket Knit</t>
  </si>
  <si>
    <t xml:space="preserve">floor_cushion</t>
  </si>
  <si>
    <t xml:space="preserve">Floor Cushion</t>
  </si>
  <si>
    <t xml:space="preserve">vase_tall_ceramic</t>
  </si>
  <si>
    <t xml:space="preserve">Vase Tall Ceramic</t>
  </si>
  <si>
    <t xml:space="preserve">Object Decor</t>
  </si>
  <si>
    <t xml:space="preserve">vase_short_wide</t>
  </si>
  <si>
    <t xml:space="preserve">Vase Short Wide</t>
  </si>
  <si>
    <t xml:space="preserve">bowl_brass_decorative</t>
  </si>
  <si>
    <t xml:space="preserve">Bowl Brass Decorative</t>
  </si>
  <si>
    <t xml:space="preserve">candle_pillar_3_set</t>
  </si>
  <si>
    <t xml:space="preserve">Candle Pillar 3-set</t>
  </si>
  <si>
    <t xml:space="preserve">coffee_table_books_stack</t>
  </si>
  <si>
    <t xml:space="preserve">Coffee-table Books Stack</t>
  </si>
  <si>
    <t xml:space="preserve">tray_round_brass</t>
  </si>
  <si>
    <t xml:space="preserve">Tray Round Brass</t>
  </si>
  <si>
    <t xml:space="preserve">sculpture_abstract</t>
  </si>
  <si>
    <t xml:space="preserve">Sculpture Abstract</t>
  </si>
  <si>
    <t xml:space="preserve">basket_woven</t>
  </si>
  <si>
    <t xml:space="preserve">Basket Woven</t>
  </si>
  <si>
    <t xml:space="preserve">basket_pair_storage</t>
  </si>
  <si>
    <t xml:space="preserve">Basket Pair Storage</t>
  </si>
  <si>
    <t xml:space="preserve">magazine_rack</t>
  </si>
  <si>
    <t xml:space="preserve">Magazine Rack</t>
  </si>
  <si>
    <t xml:space="preserve">Asset Sources — ranked for our Three.js / R3F stack</t>
  </si>
  <si>
    <t xml:space="preserve">Rank</t>
  </si>
  <si>
    <t xml:space="preserve">Models</t>
  </si>
  <si>
    <t xml:space="preserve">Auto-download?</t>
  </si>
  <si>
    <t xml:space="preserve">Notes</t>
  </si>
  <si>
    <t xml:space="preserve">Sketchfab Download API</t>
  </si>
  <si>
    <t xml:space="preserve">GLB/GLTF</t>
  </si>
  <si>
    <t xml:space="preserve">500,000+</t>
  </si>
  <si>
    <t xml:space="preserve">CC-BY (most), CC0 (filter)</t>
  </si>
  <si>
    <t xml:space="preserve">YES — API+token</t>
  </si>
  <si>
    <t xml:space="preserve">PRIMARY. Real GLB exports. CC-BY OK if we credit author. Build script wrapper.</t>
  </si>
  <si>
    <t xml:space="preserve">GLB</t>
  </si>
  <si>
    <t xml:space="preserve">~150 (furn)</t>
  </si>
  <si>
    <t xml:space="preserve">YES — public URLs</t>
  </si>
  <si>
    <t xml:space="preserve">HERO TIER. Photoreal CC0 — best sofas/beds. Tiny library but quality is unmatched.</t>
  </si>
  <si>
    <t xml:space="preserve">OpenSource3D / Meshy CC0</t>
  </si>
  <si>
    <t xml:space="preserve">GLB/USDZ</t>
  </si>
  <si>
    <t xml:space="preserve">~1,000</t>
  </si>
  <si>
    <t xml:space="preserve">YES — direct download</t>
  </si>
  <si>
    <t xml:space="preserve">Solid fallback for generic objects. Quality varies — curate.</t>
  </si>
  <si>
    <t xml:space="preserve">SKP (some GLB)</t>
  </si>
  <si>
    <t xml:space="preserve">millions</t>
  </si>
  <si>
    <t xml:space="preserve">3DW Terms (free use ok with attribution)</t>
  </si>
  <si>
    <t xml:space="preserve">METADATA only</t>
  </si>
  <si>
    <t xml:space="preserve">Already integrated via scripts/catalog-scrape-3dw.mjs. Keep for thumbnails + Indian-style items not on Sketchfab.</t>
  </si>
  <si>
    <t xml:space="preserve">sketchup.cgtips.org</t>
  </si>
  <si>
    <t xml:space="preserve">SKP</t>
  </si>
  <si>
    <t xml:space="preserve">4,178+</t>
  </si>
  <si>
    <t xml:space="preserve">Free personal+commercial (claimed)</t>
  </si>
  <si>
    <t xml:space="preserve">AGGREGATOR of 3D Warehouse content. SKP only → requires SKP→GLB conversion (manual via SketchUp Pro or paid reaConverter). Use as reference / fallback only.</t>
  </si>
  <si>
    <t xml:space="preserve">BlenderKit (free tier)</t>
  </si>
  <si>
    <t xml:space="preserve">BLEND/GLB</t>
  </si>
  <si>
    <t xml:space="preserve">~10,000</t>
  </si>
  <si>
    <t xml:space="preserve">Royalty-free (free tier)</t>
  </si>
  <si>
    <t xml:space="preserve">API w/ key</t>
  </si>
  <si>
    <t xml:space="preserve">Higher fidelity than CC0 sources. Worth a small $ spend later for hero pieces.</t>
  </si>
  <si>
    <t xml:space="preserve">CGTrader Free</t>
  </si>
  <si>
    <t xml:space="preserve">GLB/FBX</t>
  </si>
  <si>
    <t xml:space="preserve">~50,000 free</t>
  </si>
  <si>
    <t xml:space="preserve">Mixed (read each)</t>
  </si>
  <si>
    <t xml:space="preserve">Manual</t>
  </si>
  <si>
    <t xml:space="preserve">Quality is hit or miss. Use only when above sources lack a specific item.</t>
  </si>
  <si>
    <t xml:space="preserve">The 80% — what every home design needs</t>
  </si>
  <si>
    <t xml:space="preserve">Built from Infurnia + 3D Warehouse + Houzz category trees, filtered to the 20% of categories that cover 80% of designs. Each row maps to a "group" in src/data/catalog.ts.</t>
  </si>
  <si>
    <t xml:space="preserve">Sub-types</t>
  </si>
  <si>
    <t xml:space="preserve">Hero pieces (priority)</t>
  </si>
  <si>
    <t xml:space="preserve">Indian/regional notes</t>
  </si>
  <si>
    <t xml:space="preserve">Base / Drawer / Tall Units</t>
  </si>
  <si>
    <t xml:space="preserve">Modular cabinets, pull-outs, corner units</t>
  </si>
  <si>
    <t xml:space="preserve">45</t>
  </si>
  <si>
    <t xml:space="preserve">Hettich / Hafele inspired drawer units</t>
  </si>
  <si>
    <t xml:space="preserve">Indian: tandem boxes, magic-corner pull-outs are common</t>
  </si>
  <si>
    <t xml:space="preserve">Hob, hood, fridge, microwave, dishwasher, RO unit</t>
  </si>
  <si>
    <t xml:space="preserve">12</t>
  </si>
  <si>
    <t xml:space="preserve">Chimney hood, fridge (double-door &amp; SBS)</t>
  </si>
  <si>
    <t xml:space="preserve">Water purifier is essential in India (Aquaguard, Pureit)</t>
  </si>
  <si>
    <t xml:space="preserve">Counter &amp; Backsplash</t>
  </si>
  <si>
    <t xml:space="preserve">Quartz/granite slabs, tile backsplashes</t>
  </si>
  <si>
    <t xml:space="preserve">5</t>
  </si>
  <si>
    <t xml:space="preserve">Quartz countertop slab (Caesarstone-style)</t>
  </si>
  <si>
    <t xml:space="preserve">Granite countertops still dominate Indian kitchens</t>
  </si>
  <si>
    <t xml:space="preserve">Single, queen, king; storage, plain, tufted, four-poster</t>
  </si>
  <si>
    <t xml:space="preserve">8</t>
  </si>
  <si>
    <t xml:space="preserve">King with upholstered headboard</t>
  </si>
  <si>
    <t xml:space="preserve">Storage beds (hydraulic) are big in Indian apartments</t>
  </si>
  <si>
    <t xml:space="preserve">Sliding 2/3-door, openable 4-door, walk-in, loft</t>
  </si>
  <si>
    <t xml:space="preserve">3-door sliding wardrobe 2700mm</t>
  </si>
  <si>
    <t xml:space="preserve">Loft cabinets above wardrobes — uniquely Indian</t>
  </si>
  <si>
    <t xml:space="preserve">Bedside / Dresser</t>
  </si>
  <si>
    <t xml:space="preserve">Nightstand, chest of drawers, dressing table</t>
  </si>
  <si>
    <t xml:space="preserve">11</t>
  </si>
  <si>
    <t xml:space="preserve">Dressing table with mirror</t>
  </si>
  <si>
    <t xml:space="preserve">Pooja unit sometimes in master bedroom — consider</t>
  </si>
  <si>
    <t xml:space="preserve">Accent</t>
  </si>
  <si>
    <t xml:space="preserve">Bench, full-length mirror, reading chair, bedroom rug</t>
  </si>
  <si>
    <t xml:space="preserve">7</t>
  </si>
  <si>
    <t xml:space="preserve">Reading nook chair + floor lamp pair</t>
  </si>
  <si>
    <t xml:space="preserve">Mosquito net frame? edge case</t>
  </si>
  <si>
    <t xml:space="preserve">2/3/4-seat, L-section, U-section, recliner</t>
  </si>
  <si>
    <t xml:space="preserve">10</t>
  </si>
  <si>
    <t xml:space="preserve">3-seater + L-section combo</t>
  </si>
  <si>
    <t xml:space="preserve">Diwan / settee for Indian living rooms</t>
  </si>
  <si>
    <t xml:space="preserve">Accent chairs</t>
  </si>
  <si>
    <t xml:space="preserve">Tub, wingback, slipper, cane lounge</t>
  </si>
  <si>
    <t xml:space="preserve">6</t>
  </si>
  <si>
    <t xml:space="preserve">Cane lounge chair (mid-century Indian)</t>
  </si>
  <si>
    <t xml:space="preserve">Cane and rattan are huge in modern Indian design</t>
  </si>
  <si>
    <t xml:space="preserve">Tables</t>
  </si>
  <si>
    <t xml:space="preserve">Coffee, side, console, nesting</t>
  </si>
  <si>
    <t xml:space="preserve">Round wood coffee table + console</t>
  </si>
  <si>
    <t xml:space="preserve">Low-slung carved coffee tables for traditional homes</t>
  </si>
  <si>
    <t xml:space="preserve">TV / Media</t>
  </si>
  <si>
    <t xml:space="preserve">TV unit low/floor, media wall, display</t>
  </si>
  <si>
    <t xml:space="preserve">4</t>
  </si>
  <si>
    <t xml:space="preserve">Wall-mounted TV unit 2400mm</t>
  </si>
  <si>
    <t xml:space="preserve">Pooja niche sometimes integrates with TV wall</t>
  </si>
  <si>
    <t xml:space="preserve">Bookshelf, open cube, built-in niche</t>
  </si>
  <si>
    <t xml:space="preserve">Built-in niche shelving</t>
  </si>
  <si>
    <t xml:space="preserve">Showcase / crockery cabinet (Indian)</t>
  </si>
  <si>
    <t xml:space="preserve">4/6/8-seat round/rect/extendable</t>
  </si>
  <si>
    <t xml:space="preserve">6-seater rectangular with marble top</t>
  </si>
  <si>
    <t xml:space="preserve">Joint-family 8-seater common</t>
  </si>
  <si>
    <t xml:space="preserve">Chairs</t>
  </si>
  <si>
    <t xml:space="preserve">Upholstered, wood, cane-back, bench</t>
  </si>
  <si>
    <t xml:space="preserve">Cane-back dining chair set</t>
  </si>
  <si>
    <t xml:space="preserve">Cane-back chairs are a Scandinavian-Indian crossover hit</t>
  </si>
  <si>
    <t xml:space="preserve">Storage</t>
  </si>
  <si>
    <t xml:space="preserve">Crockery unit, sideboard, wine, bar</t>
  </si>
  <si>
    <t xml:space="preserve">Crockery unit tall</t>
  </si>
  <si>
    <t xml:space="preserve">Crockery display is culturally important</t>
  </si>
  <si>
    <t xml:space="preserve">Single/double/floating/vessel</t>
  </si>
  <si>
    <t xml:space="preserve">Floating double-sink vanity</t>
  </si>
  <si>
    <t xml:space="preserve">Indian bath uses bucket — consider a bucket+mug ref item</t>
  </si>
  <si>
    <t xml:space="preserve">Fixtures</t>
  </si>
  <si>
    <t xml:space="preserve">Toilet, bidet, tub, shower, glass enclosure</t>
  </si>
  <si>
    <t xml:space="preserve">Wall-hung toilet + shower glass</t>
  </si>
  <si>
    <t xml:space="preserve">Indian: jet spray / health faucet is standard</t>
  </si>
  <si>
    <t xml:space="preserve">Storage / Mirror</t>
  </si>
  <si>
    <t xml:space="preserve">Mirror cabinet, towel rack, linen tower</t>
  </si>
  <si>
    <t xml:space="preserve">Lit mirror cabinet</t>
  </si>
  <si>
    <t xml:space="preserve">Wall-mounted geyser — should be in library</t>
  </si>
  <si>
    <t xml:space="preserve">Rect, L-shape, standing, executive</t>
  </si>
  <si>
    <t xml:space="preserve">Standing adjustable desk</t>
  </si>
  <si>
    <t xml:space="preserve">WFH spaces are common in 3 BHKs post-2020</t>
  </si>
  <si>
    <t xml:space="preserve">Ergonomic, executive, mesh, stool</t>
  </si>
  <si>
    <t xml:space="preserve">Ergonomic mesh chair (Herman Miller style)</t>
  </si>
  <si>
    <t xml:space="preserve">—</t>
  </si>
  <si>
    <t xml:space="preserve">Storage / Accents</t>
  </si>
  <si>
    <t xml:space="preserve">Filing, bookcase, whiteboard, printer stand</t>
  </si>
  <si>
    <t xml:space="preserve">3-drawer filing cabinet</t>
  </si>
  <si>
    <t xml:space="preserve">Bunk, toddler, slide bed</t>
  </si>
  <si>
    <t xml:space="preserve">3</t>
  </si>
  <si>
    <t xml:space="preserve">Bunk with study below</t>
  </si>
  <si>
    <t xml:space="preserve">Indian: study unit below the loft bed is very common</t>
  </si>
  <si>
    <t xml:space="preserve">Furniture</t>
  </si>
  <si>
    <t xml:space="preserve">Study unit, chair, bookshelf, toys</t>
  </si>
  <si>
    <t xml:space="preserve">Study unit with hutch</t>
  </si>
  <si>
    <t xml:space="preserve">Activity tables popular</t>
  </si>
  <si>
    <t xml:space="preserve">Seating</t>
  </si>
  <si>
    <t xml:space="preserve">Lounge, sofa, swing, hammock</t>
  </si>
  <si>
    <t xml:space="preserve">Balcony swing (Indian jhula)</t>
  </si>
  <si>
    <t xml:space="preserve">Jhula is a signature Indian element</t>
  </si>
  <si>
    <t xml:space="preserve">Dining + Decor</t>
  </si>
  <si>
    <t xml:space="preserve">Set 4/6, bar set, planters, garden bench</t>
  </si>
  <si>
    <t xml:space="preserve">6-seater patio dining</t>
  </si>
  <si>
    <t xml:space="preserve">Large planters for Tulsi etc.</t>
  </si>
  <si>
    <t xml:space="preserve">Cone, globe, rattan, cluster</t>
  </si>
  <si>
    <t xml:space="preserve">Pendant cluster over dining</t>
  </si>
  <si>
    <t xml:space="preserve">Brass / rattan are bestsellers</t>
  </si>
  <si>
    <t xml:space="preserve">Linear, crystal, sputnik, drum</t>
  </si>
  <si>
    <t xml:space="preserve">Linear chandelier for dining</t>
  </si>
  <si>
    <t xml:space="preserve">Crystal still dominates traditional Indian homes</t>
  </si>
  <si>
    <t xml:space="preserve">Floor / Table</t>
  </si>
  <si>
    <t xml:space="preserve">Arc, tripod, reading, cane, bedside</t>
  </si>
  <si>
    <t xml:space="preserve">9</t>
  </si>
  <si>
    <t xml:space="preserve">Arc floor lamp</t>
  </si>
  <si>
    <t xml:space="preserve">Wall / Ceiling</t>
  </si>
  <si>
    <t xml:space="preserve">Sconce, flush, fan-w/-light, recessed, strip, smart</t>
  </si>
  <si>
    <t xml:space="preserve">Ceiling fan with light (essential India)</t>
  </si>
  <si>
    <t xml:space="preserve">Ceiling fan with integrated light is a MUST in Indian homes</t>
  </si>
  <si>
    <t xml:space="preserve">Fig, monstera, snake, olive, bonsai, pothos</t>
  </si>
  <si>
    <t xml:space="preserve">Fiddle leaf fig tall</t>
  </si>
  <si>
    <t xml:space="preserve">Wall Art / Mirror</t>
  </si>
  <si>
    <t xml:space="preserve">Abstract, photography, sunburst, clock</t>
  </si>
  <si>
    <t xml:space="preserve">Sunburst mirror + 3-panel abstract</t>
  </si>
  <si>
    <t xml:space="preserve">Tanjore paintings? edge case</t>
  </si>
  <si>
    <t xml:space="preserve">Soft / Objects</t>
  </si>
  <si>
    <t xml:space="preserve">Pillows, blankets, vases, candles, books, baskets</t>
  </si>
  <si>
    <t xml:space="preserve">14</t>
  </si>
  <si>
    <t xml:space="preserve">Linen throw pillow set</t>
  </si>
  <si>
    <t xml:space="preserve">Brass artefacts add Indian character</t>
  </si>
  <si>
    <t xml:space="preserve">Ingestion Pipeline — from URL → Design OS catalog</t>
  </si>
  <si>
    <t xml:space="preserve">Step</t>
  </si>
  <si>
    <t xml:space="preserve">What happens</t>
  </si>
  <si>
    <t xml:space="preserve">Tool / file</t>
  </si>
  <si>
    <t xml:space="preserve">Time</t>
  </si>
  <si>
    <t xml:space="preserve">1</t>
  </si>
  <si>
    <t xml:space="preserve">Pick from Categories sheet</t>
  </si>
  <si>
    <t xml:space="preserve">Choose the next batch (e.g. all "Sofas") from the 80% list</t>
  </si>
  <si>
    <t xml:space="preserve">Categories.xlsx</t>
  </si>
  <si>
    <t xml:space="preserve">~5 min</t>
  </si>
  <si>
    <t xml:space="preserve">2</t>
  </si>
  <si>
    <t xml:space="preserve">Search by source priority</t>
  </si>
  <si>
    <t xml:space="preserve">Sketchfab (CC-BY/CC0) → Poly Haven → OpenSource3D → 3D Warehouse → cgtips</t>
  </si>
  <si>
    <t xml:space="preserve">sketchfab.com/search OR scripts/catalog-scrape-sketchfab.mjs (new)</t>
  </si>
  <si>
    <t xml:space="preserve">~15 min / 10 items</t>
  </si>
  <si>
    <t xml:space="preserve">Run automated scraper</t>
  </si>
  <si>
    <t xml:space="preserve">npm run catalog:scrape-sf -- --query "modern sofa" --license cc-by --limit 20</t>
  </si>
  <si>
    <t xml:space="preserve">scripts/catalog-scrape-sketchfab.mjs</t>
  </si>
  <si>
    <t xml:space="preserve">~10 min</t>
  </si>
  <si>
    <t xml:space="preserve">Output → catalog-import.json</t>
  </si>
  <si>
    <t xml:space="preserve">JSON contains: title, source URL, thumbnail, downloadUrl, license, author</t>
  </si>
  <si>
    <t xml:space="preserve">catalog-import.json</t>
  </si>
  <si>
    <t xml:space="preserve">auto</t>
  </si>
  <si>
    <t xml:space="preserve">Convert (if SKP)</t>
  </si>
  <si>
    <t xml:space="preserve">For SKP from 3DW/cgtips: open in SketchUp Pro → Export → glTF Binary (.glb). Or paid reaConverter for batch.</t>
  </si>
  <si>
    <t xml:space="preserve">manual or reaConverter CLI</t>
  </si>
  <si>
    <t xml:space="preserve">~3 min per file</t>
  </si>
  <si>
    <t xml:space="preserve">Open Catalog Admin</t>
  </si>
  <si>
    <t xml:space="preserve">In the app: Ribbon → Catalog Admin → "Import Scrape JSON"</t>
  </si>
  <si>
    <t xml:space="preserve">CatalogAdminModal.tsx</t>
  </si>
  <si>
    <t xml:space="preserve">~30 sec</t>
  </si>
  <si>
    <t xml:space="preserve">Attach GLB per item</t>
  </si>
  <si>
    <t xml:space="preserve">For each pending item: click → "Upload Model" → choose .glb. Stored in IndexedDB.</t>
  </si>
  <si>
    <t xml:space="preserve">putCatalogAsset() in lib/db.ts</t>
  </si>
  <si>
    <t xml:space="preserve">~30 sec / item</t>
  </si>
  <si>
    <t xml:space="preserve">Tune transform</t>
  </si>
  <si>
    <t xml:space="preserve">Set renderScale, renderRotation, renderOffset so item sits at floor + faces forward</t>
  </si>
  <si>
    <t xml:space="preserve">~1 min / item</t>
  </si>
  <si>
    <t xml:space="preserve">Publish</t>
  </si>
  <si>
    <t xml:space="preserve">Click "Publish" → importStatus becomes "published" → item appears in CatalogSidebar</t>
  </si>
  <si>
    <t xml:space="preserve">~10 sec</t>
  </si>
  <si>
    <t xml:space="preserve">Update this log</t>
  </si>
  <si>
    <t xml:space="preserve">Set Status=published in Master sheet, paste source URL</t>
  </si>
  <si>
    <t xml:space="preserve">Master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</si>
</sst>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F172A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7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1F5F9"/>
        <bgColor rgb="FFFFFFFF"/>
      </patternFill>
    </fill>
    <fill>
      <patternFill patternType="solid">
        <fgColor rgb="FF334155"/>
        <bgColor rgb="FF1E293B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341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EF3C7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ssetLog" displayName="AssetLog" ref="A1:O247" headerRowCount="1" totalsRowCount="0" totalsRowShown="0">
  <autoFilter ref="A1:O247"/>
  <tableColumns count="15">
    <tableColumn id="1" name="#"/>
    <tableColumn id="2" name="Asset ID"/>
    <tableColumn id="3" name="Display name"/>
    <tableColumn id="4" name="Group"/>
    <tableColumn id="5" name="Room(s)"/>
    <tableColumn id="6" name="Furniture type"/>
    <tableColumn id="7" name="Style"/>
    <tableColumn id="8" name="Variants"/>
    <tableColumn id="9" name="Source"/>
    <tableColumn id="10" name="Source URL"/>
    <tableColumn id="11" name="License"/>
    <tableColumn id="12" name="Format"/>
    <tableColumn id="13" name="Hero?"/>
    <tableColumn id="14" name="Status"/>
    <tableColumn id="15" name="Notes / Next 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8" min="3" style="0" width="14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</row>
    <row r="7" customFormat="false" ht="15" hidden="false" customHeight="true" outlineLevel="0" collapsed="false">
      <c r="B7" s="3" t="s">
        <v>2</v>
      </c>
      <c r="C7" s="3"/>
      <c r="D7" s="3" t="s">
        <v>3</v>
      </c>
      <c r="E7" s="3"/>
      <c r="F7" s="3" t="s">
        <v>4</v>
      </c>
      <c r="G7" s="3"/>
      <c r="H7" s="3" t="s">
        <v>5</v>
      </c>
      <c r="I7" s="3"/>
    </row>
    <row r="8" customFormat="false" ht="37.5" hidden="false" customHeight="true" outlineLevel="0" collapsed="false">
      <c r="B8" s="4" t="n">
        <f aca="false">COUNTA(Master!B:B)-1</f>
        <v>246</v>
      </c>
      <c r="C8" s="4"/>
      <c r="D8" s="4" t="n">
        <f aca="false">COUNTIF(Master!N:N,"published")</f>
        <v>0</v>
      </c>
      <c r="E8" s="4"/>
      <c r="F8" s="4" t="n">
        <f aca="false">COUNTIF(Master!N:N,"pending")+COUNTIF(Master!N:N,"in-review")</f>
        <v>36</v>
      </c>
      <c r="G8" s="4"/>
      <c r="H8" s="4" t="n">
        <f aca="false">COUNTIF(Master!N:N,"backlog")</f>
        <v>210</v>
      </c>
      <c r="I8" s="4"/>
    </row>
    <row r="9" customFormat="false" ht="12" hidden="false" customHeight="true" outlineLevel="0" collapsed="false">
      <c r="B9" s="4"/>
      <c r="C9" s="4"/>
      <c r="D9" s="4"/>
      <c r="E9" s="4"/>
      <c r="F9" s="4"/>
      <c r="G9" s="4"/>
      <c r="H9" s="4"/>
      <c r="I9" s="4"/>
    </row>
    <row r="10" customFormat="false" ht="12" hidden="false" customHeight="true" outlineLevel="0" collapsed="false">
      <c r="B10" s="4"/>
      <c r="C10" s="4"/>
      <c r="D10" s="4"/>
      <c r="E10" s="4"/>
      <c r="F10" s="4"/>
      <c r="G10" s="4"/>
      <c r="H10" s="4"/>
      <c r="I10" s="4"/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6" t="n">
        <f aca="false">B8/200</f>
        <v>1.23</v>
      </c>
      <c r="C13" s="7" t="s">
        <v>7</v>
      </c>
    </row>
    <row r="15" customFormat="false" ht="16.15" hidden="false" customHeight="false" outlineLevel="0" collapsed="false">
      <c r="B15" s="8" t="s">
        <v>8</v>
      </c>
      <c r="C15" s="8"/>
      <c r="D15" s="8"/>
      <c r="E15" s="8"/>
    </row>
    <row r="16" customFormat="false" ht="15" hidden="false" customHeight="false" outlineLevel="0" collapsed="false">
      <c r="B16" s="9" t="s">
        <v>9</v>
      </c>
      <c r="C16" s="9" t="s">
        <v>10</v>
      </c>
      <c r="D16" s="9" t="s">
        <v>3</v>
      </c>
      <c r="E16" s="9" t="s">
        <v>11</v>
      </c>
    </row>
    <row r="17" customFormat="false" ht="15" hidden="false" customHeight="false" outlineLevel="0" collapsed="false">
      <c r="B17" s="10" t="s">
        <v>12</v>
      </c>
      <c r="C17" s="11" t="n">
        <v>45</v>
      </c>
      <c r="D17" s="11" t="n">
        <f aca="false">COUNTIFS(Master!E:E,"*Kitchen*",Master!N:N,"published")</f>
        <v>0</v>
      </c>
      <c r="E17" s="12" t="n">
        <f aca="false">IFERROR(D17/C17,0)</f>
        <v>0</v>
      </c>
    </row>
    <row r="18" customFormat="false" ht="15" hidden="false" customHeight="false" outlineLevel="0" collapsed="false">
      <c r="B18" s="10" t="s">
        <v>13</v>
      </c>
      <c r="C18" s="11" t="n">
        <v>35</v>
      </c>
      <c r="D18" s="11" t="n">
        <f aca="false">COUNTIFS(Master!E:E,"*Bedroom*",Master!N:N,"published")</f>
        <v>0</v>
      </c>
      <c r="E18" s="12" t="n">
        <f aca="false">IFERROR(D18/C18,0)</f>
        <v>0</v>
      </c>
    </row>
    <row r="19" customFormat="false" ht="15" hidden="false" customHeight="false" outlineLevel="0" collapsed="false">
      <c r="B19" s="10" t="s">
        <v>14</v>
      </c>
      <c r="C19" s="11" t="n">
        <v>40</v>
      </c>
      <c r="D19" s="11" t="n">
        <f aca="false">COUNTIFS(Master!E:E,"*Living*",Master!N:N,"published")</f>
        <v>0</v>
      </c>
      <c r="E19" s="12" t="n">
        <f aca="false">IFERROR(D19/C19,0)</f>
        <v>0</v>
      </c>
    </row>
    <row r="20" customFormat="false" ht="15" hidden="false" customHeight="false" outlineLevel="0" collapsed="false">
      <c r="B20" s="10" t="s">
        <v>15</v>
      </c>
      <c r="C20" s="11" t="n">
        <v>20</v>
      </c>
      <c r="D20" s="11" t="n">
        <f aca="false">COUNTIFS(Master!E:E,"*Dining*",Master!N:N,"published")</f>
        <v>0</v>
      </c>
      <c r="E20" s="12" t="n">
        <f aca="false">IFERROR(D20/C20,0)</f>
        <v>0</v>
      </c>
    </row>
    <row r="21" customFormat="false" ht="15" hidden="false" customHeight="false" outlineLevel="0" collapsed="false">
      <c r="B21" s="10" t="s">
        <v>16</v>
      </c>
      <c r="C21" s="11" t="n">
        <v>20</v>
      </c>
      <c r="D21" s="11" t="n">
        <f aca="false">COUNTIFS(Master!E:E,"*Bathroom*",Master!N:N,"published")</f>
        <v>0</v>
      </c>
      <c r="E21" s="12" t="n">
        <f aca="false">IFERROR(D21/C21,0)</f>
        <v>0</v>
      </c>
    </row>
    <row r="22" customFormat="false" ht="15" hidden="false" customHeight="false" outlineLevel="0" collapsed="false">
      <c r="B22" s="10" t="s">
        <v>17</v>
      </c>
      <c r="C22" s="11" t="n">
        <v>15</v>
      </c>
      <c r="D22" s="11" t="n">
        <f aca="false">COUNTIFS(Master!E:E,"*Office*",Master!N:N,"published")</f>
        <v>0</v>
      </c>
      <c r="E22" s="12" t="n">
        <f aca="false">IFERROR(D22/C22,0)</f>
        <v>0</v>
      </c>
    </row>
    <row r="23" customFormat="false" ht="15" hidden="false" customHeight="false" outlineLevel="0" collapsed="false">
      <c r="B23" s="10" t="s">
        <v>18</v>
      </c>
      <c r="C23" s="11" t="n">
        <v>10</v>
      </c>
      <c r="D23" s="11" t="n">
        <f aca="false">COUNTIFS(Master!E:E,"*Kids*",Master!N:N,"published")</f>
        <v>0</v>
      </c>
      <c r="E23" s="12" t="n">
        <f aca="false">IFERROR(D23/C23,0)</f>
        <v>0</v>
      </c>
    </row>
    <row r="24" customFormat="false" ht="15" hidden="false" customHeight="false" outlineLevel="0" collapsed="false">
      <c r="B24" s="10" t="s">
        <v>19</v>
      </c>
      <c r="C24" s="11" t="n">
        <v>10</v>
      </c>
      <c r="D24" s="11" t="n">
        <f aca="false">COUNTIFS(Master!E:E,"*Outdoor*",Master!N:N,"published")</f>
        <v>0</v>
      </c>
      <c r="E24" s="12" t="n">
        <f aca="false">IFERROR(D24/C24,0)</f>
        <v>0</v>
      </c>
    </row>
    <row r="25" customFormat="false" ht="15" hidden="false" customHeight="false" outlineLevel="0" collapsed="false">
      <c r="B25" s="10" t="s">
        <v>20</v>
      </c>
      <c r="C25" s="11" t="n">
        <v>30</v>
      </c>
      <c r="D25" s="11" t="n">
        <f aca="false">COUNTIFS(Master!E:E,"*Lighting*",Master!N:N,"published")</f>
        <v>0</v>
      </c>
      <c r="E25" s="12" t="n">
        <f aca="false">IFERROR(D25/C25,0)</f>
        <v>0</v>
      </c>
    </row>
    <row r="26" customFormat="false" ht="15" hidden="false" customHeight="false" outlineLevel="0" collapsed="false">
      <c r="B26" s="10" t="s">
        <v>21</v>
      </c>
      <c r="C26" s="11" t="n">
        <v>25</v>
      </c>
      <c r="D26" s="11" t="n">
        <f aca="false">COUNTIFS(Master!E:E,"*Decor*",Master!N:N,"published")</f>
        <v>0</v>
      </c>
      <c r="E26" s="12" t="n">
        <f aca="false">IFERROR(D26/C26,0)</f>
        <v>0</v>
      </c>
    </row>
  </sheetData>
  <mergeCells count="11">
    <mergeCell ref="B2:H4"/>
    <mergeCell ref="B5:H5"/>
    <mergeCell ref="B7:C7"/>
    <mergeCell ref="D7:E7"/>
    <mergeCell ref="F7:G7"/>
    <mergeCell ref="H7:I7"/>
    <mergeCell ref="B8:C10"/>
    <mergeCell ref="D8:E10"/>
    <mergeCell ref="F8:G10"/>
    <mergeCell ref="H8:I10"/>
    <mergeCell ref="B15:E15"/>
  </mergeCells>
  <conditionalFormatting sqref="E17:E26">
    <cfRule type="colorScale" priority="2">
      <colorScale>
        <cfvo type="num" val="0"/>
        <cfvo type="num" val="0.5"/>
        <cfvo type="num" val="1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36"/>
  </cols>
  <sheetData>
    <row r="1" customFormat="false" ht="27.75" hidden="false" customHeight="tru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</row>
    <row r="2" customFormat="false" ht="15" hidden="false" customHeight="false" outlineLevel="0" collapsed="false">
      <c r="A2" s="11" t="n">
        <v>1</v>
      </c>
      <c r="B2" s="10" t="s">
        <v>37</v>
      </c>
      <c r="C2" s="10" t="s">
        <v>38</v>
      </c>
      <c r="D2" s="10" t="s">
        <v>39</v>
      </c>
      <c r="E2" s="10" t="s">
        <v>12</v>
      </c>
      <c r="F2" s="11" t="s">
        <v>40</v>
      </c>
      <c r="G2" s="11" t="s">
        <v>41</v>
      </c>
      <c r="H2" s="11" t="n">
        <v>3</v>
      </c>
      <c r="I2" s="11" t="s">
        <v>42</v>
      </c>
      <c r="J2" s="10"/>
      <c r="K2" s="11" t="s">
        <v>43</v>
      </c>
      <c r="L2" s="11" t="s">
        <v>44</v>
      </c>
      <c r="M2" s="11"/>
      <c r="N2" s="11" t="s">
        <v>45</v>
      </c>
      <c r="O2" s="10"/>
    </row>
    <row r="3" customFormat="false" ht="15" hidden="false" customHeight="false" outlineLevel="0" collapsed="false">
      <c r="A3" s="11" t="n">
        <v>2</v>
      </c>
      <c r="B3" s="10" t="s">
        <v>46</v>
      </c>
      <c r="C3" s="10" t="s">
        <v>47</v>
      </c>
      <c r="D3" s="10" t="s">
        <v>39</v>
      </c>
      <c r="E3" s="10" t="s">
        <v>12</v>
      </c>
      <c r="F3" s="11" t="s">
        <v>40</v>
      </c>
      <c r="G3" s="11" t="s">
        <v>48</v>
      </c>
      <c r="H3" s="11" t="n">
        <v>3</v>
      </c>
      <c r="I3" s="11" t="s">
        <v>49</v>
      </c>
      <c r="J3" s="10"/>
      <c r="K3" s="11" t="s">
        <v>50</v>
      </c>
      <c r="L3" s="11" t="s">
        <v>44</v>
      </c>
      <c r="M3" s="11"/>
      <c r="N3" s="11" t="s">
        <v>45</v>
      </c>
      <c r="O3" s="10"/>
    </row>
    <row r="4" customFormat="false" ht="15" hidden="false" customHeight="false" outlineLevel="0" collapsed="false">
      <c r="A4" s="11" t="n">
        <v>3</v>
      </c>
      <c r="B4" s="10" t="s">
        <v>51</v>
      </c>
      <c r="C4" s="10" t="s">
        <v>52</v>
      </c>
      <c r="D4" s="10" t="s">
        <v>39</v>
      </c>
      <c r="E4" s="10" t="s">
        <v>12</v>
      </c>
      <c r="F4" s="11" t="s">
        <v>40</v>
      </c>
      <c r="G4" s="11" t="s">
        <v>53</v>
      </c>
      <c r="H4" s="11" t="n">
        <v>3</v>
      </c>
      <c r="I4" s="11" t="s">
        <v>54</v>
      </c>
      <c r="J4" s="10"/>
      <c r="K4" s="11" t="s">
        <v>55</v>
      </c>
      <c r="L4" s="11" t="s">
        <v>56</v>
      </c>
      <c r="M4" s="11"/>
      <c r="N4" s="11" t="s">
        <v>45</v>
      </c>
      <c r="O4" s="10"/>
    </row>
    <row r="5" customFormat="false" ht="15" hidden="false" customHeight="false" outlineLevel="0" collapsed="false">
      <c r="A5" s="11" t="n">
        <v>4</v>
      </c>
      <c r="B5" s="10" t="s">
        <v>57</v>
      </c>
      <c r="C5" s="10" t="s">
        <v>58</v>
      </c>
      <c r="D5" s="10" t="s">
        <v>39</v>
      </c>
      <c r="E5" s="10" t="s">
        <v>12</v>
      </c>
      <c r="F5" s="11" t="s">
        <v>40</v>
      </c>
      <c r="G5" s="11" t="s">
        <v>41</v>
      </c>
      <c r="H5" s="11" t="n">
        <v>3</v>
      </c>
      <c r="I5" s="11" t="s">
        <v>59</v>
      </c>
      <c r="J5" s="10"/>
      <c r="K5" s="11" t="s">
        <v>55</v>
      </c>
      <c r="L5" s="11" t="s">
        <v>56</v>
      </c>
      <c r="M5" s="11"/>
      <c r="N5" s="11" t="s">
        <v>45</v>
      </c>
      <c r="O5" s="10"/>
    </row>
    <row r="6" customFormat="false" ht="15" hidden="false" customHeight="false" outlineLevel="0" collapsed="false">
      <c r="A6" s="11" t="n">
        <v>5</v>
      </c>
      <c r="B6" s="10" t="s">
        <v>60</v>
      </c>
      <c r="C6" s="10" t="s">
        <v>61</v>
      </c>
      <c r="D6" s="10" t="s">
        <v>39</v>
      </c>
      <c r="E6" s="10" t="s">
        <v>12</v>
      </c>
      <c r="F6" s="11" t="s">
        <v>40</v>
      </c>
      <c r="G6" s="11" t="s">
        <v>48</v>
      </c>
      <c r="H6" s="11" t="n">
        <v>3</v>
      </c>
      <c r="I6" s="11" t="s">
        <v>62</v>
      </c>
      <c r="J6" s="10"/>
      <c r="K6" s="11" t="s">
        <v>50</v>
      </c>
      <c r="L6" s="11" t="s">
        <v>44</v>
      </c>
      <c r="M6" s="11"/>
      <c r="N6" s="11" t="s">
        <v>45</v>
      </c>
      <c r="O6" s="10"/>
    </row>
    <row r="7" customFormat="false" ht="15" hidden="false" customHeight="false" outlineLevel="0" collapsed="false">
      <c r="A7" s="11" t="n">
        <v>6</v>
      </c>
      <c r="B7" s="10" t="s">
        <v>63</v>
      </c>
      <c r="C7" s="10" t="s">
        <v>64</v>
      </c>
      <c r="D7" s="10" t="s">
        <v>39</v>
      </c>
      <c r="E7" s="10" t="s">
        <v>12</v>
      </c>
      <c r="F7" s="11" t="s">
        <v>40</v>
      </c>
      <c r="G7" s="11" t="s">
        <v>53</v>
      </c>
      <c r="H7" s="11" t="n">
        <v>3</v>
      </c>
      <c r="I7" s="11" t="s">
        <v>42</v>
      </c>
      <c r="J7" s="10"/>
      <c r="K7" s="11" t="s">
        <v>43</v>
      </c>
      <c r="L7" s="11" t="s">
        <v>44</v>
      </c>
      <c r="M7" s="11"/>
      <c r="N7" s="11" t="s">
        <v>45</v>
      </c>
      <c r="O7" s="10"/>
    </row>
    <row r="8" customFormat="false" ht="15" hidden="false" customHeight="false" outlineLevel="0" collapsed="false">
      <c r="A8" s="11" t="n">
        <v>7</v>
      </c>
      <c r="B8" s="10" t="s">
        <v>65</v>
      </c>
      <c r="C8" s="10" t="s">
        <v>66</v>
      </c>
      <c r="D8" s="10" t="s">
        <v>67</v>
      </c>
      <c r="E8" s="10" t="s">
        <v>12</v>
      </c>
      <c r="F8" s="11" t="s">
        <v>40</v>
      </c>
      <c r="G8" s="11" t="s">
        <v>41</v>
      </c>
      <c r="H8" s="11" t="n">
        <v>3</v>
      </c>
      <c r="I8" s="11" t="s">
        <v>49</v>
      </c>
      <c r="J8" s="10"/>
      <c r="K8" s="11" t="s">
        <v>50</v>
      </c>
      <c r="L8" s="11" t="s">
        <v>44</v>
      </c>
      <c r="M8" s="11"/>
      <c r="N8" s="11" t="s">
        <v>68</v>
      </c>
      <c r="O8" s="10"/>
    </row>
    <row r="9" customFormat="false" ht="15" hidden="false" customHeight="false" outlineLevel="0" collapsed="false">
      <c r="A9" s="11" t="n">
        <v>8</v>
      </c>
      <c r="B9" s="10" t="s">
        <v>69</v>
      </c>
      <c r="C9" s="10" t="s">
        <v>70</v>
      </c>
      <c r="D9" s="10" t="s">
        <v>67</v>
      </c>
      <c r="E9" s="10" t="s">
        <v>12</v>
      </c>
      <c r="F9" s="11" t="s">
        <v>40</v>
      </c>
      <c r="G9" s="11" t="s">
        <v>48</v>
      </c>
      <c r="H9" s="11" t="n">
        <v>3</v>
      </c>
      <c r="I9" s="11" t="s">
        <v>54</v>
      </c>
      <c r="J9" s="10"/>
      <c r="K9" s="11" t="s">
        <v>55</v>
      </c>
      <c r="L9" s="11" t="s">
        <v>56</v>
      </c>
      <c r="M9" s="11"/>
      <c r="N9" s="11" t="s">
        <v>45</v>
      </c>
      <c r="O9" s="10"/>
    </row>
    <row r="10" customFormat="false" ht="15" hidden="false" customHeight="false" outlineLevel="0" collapsed="false">
      <c r="A10" s="11" t="n">
        <v>9</v>
      </c>
      <c r="B10" s="10" t="s">
        <v>71</v>
      </c>
      <c r="C10" s="10" t="s">
        <v>72</v>
      </c>
      <c r="D10" s="10" t="s">
        <v>67</v>
      </c>
      <c r="E10" s="10" t="s">
        <v>12</v>
      </c>
      <c r="F10" s="11" t="s">
        <v>40</v>
      </c>
      <c r="G10" s="11" t="s">
        <v>53</v>
      </c>
      <c r="H10" s="11" t="n">
        <v>3</v>
      </c>
      <c r="I10" s="11" t="s">
        <v>59</v>
      </c>
      <c r="J10" s="10"/>
      <c r="K10" s="11" t="s">
        <v>55</v>
      </c>
      <c r="L10" s="11" t="s">
        <v>56</v>
      </c>
      <c r="M10" s="11"/>
      <c r="N10" s="11" t="s">
        <v>45</v>
      </c>
      <c r="O10" s="10"/>
    </row>
    <row r="11" customFormat="false" ht="15" hidden="false" customHeight="false" outlineLevel="0" collapsed="false">
      <c r="A11" s="11" t="n">
        <v>10</v>
      </c>
      <c r="B11" s="10" t="s">
        <v>73</v>
      </c>
      <c r="C11" s="10" t="s">
        <v>74</v>
      </c>
      <c r="D11" s="10" t="s">
        <v>67</v>
      </c>
      <c r="E11" s="10" t="s">
        <v>12</v>
      </c>
      <c r="F11" s="11" t="s">
        <v>40</v>
      </c>
      <c r="G11" s="11" t="s">
        <v>41</v>
      </c>
      <c r="H11" s="11" t="n">
        <v>3</v>
      </c>
      <c r="I11" s="11" t="s">
        <v>62</v>
      </c>
      <c r="J11" s="10"/>
      <c r="K11" s="11" t="s">
        <v>50</v>
      </c>
      <c r="L11" s="11" t="s">
        <v>44</v>
      </c>
      <c r="M11" s="11"/>
      <c r="N11" s="11" t="s">
        <v>45</v>
      </c>
      <c r="O11" s="10"/>
    </row>
    <row r="12" customFormat="false" ht="15" hidden="false" customHeight="false" outlineLevel="0" collapsed="false">
      <c r="A12" s="11" t="n">
        <v>11</v>
      </c>
      <c r="B12" s="10" t="s">
        <v>75</v>
      </c>
      <c r="C12" s="10" t="s">
        <v>76</v>
      </c>
      <c r="D12" s="10" t="s">
        <v>67</v>
      </c>
      <c r="E12" s="10" t="s">
        <v>12</v>
      </c>
      <c r="F12" s="11" t="s">
        <v>40</v>
      </c>
      <c r="G12" s="11" t="s">
        <v>48</v>
      </c>
      <c r="H12" s="11" t="n">
        <v>3</v>
      </c>
      <c r="I12" s="11" t="s">
        <v>42</v>
      </c>
      <c r="J12" s="10"/>
      <c r="K12" s="11" t="s">
        <v>43</v>
      </c>
      <c r="L12" s="11" t="s">
        <v>44</v>
      </c>
      <c r="M12" s="11"/>
      <c r="N12" s="11" t="s">
        <v>45</v>
      </c>
      <c r="O12" s="10"/>
    </row>
    <row r="13" customFormat="false" ht="15" hidden="false" customHeight="false" outlineLevel="0" collapsed="false">
      <c r="A13" s="11" t="n">
        <v>12</v>
      </c>
      <c r="B13" s="10" t="s">
        <v>77</v>
      </c>
      <c r="C13" s="10" t="s">
        <v>78</v>
      </c>
      <c r="D13" s="10" t="s">
        <v>79</v>
      </c>
      <c r="E13" s="10" t="s">
        <v>12</v>
      </c>
      <c r="F13" s="11" t="s">
        <v>80</v>
      </c>
      <c r="G13" s="11" t="s">
        <v>53</v>
      </c>
      <c r="H13" s="11" t="n">
        <v>3</v>
      </c>
      <c r="I13" s="11" t="s">
        <v>49</v>
      </c>
      <c r="J13" s="10"/>
      <c r="K13" s="11" t="s">
        <v>50</v>
      </c>
      <c r="L13" s="11" t="s">
        <v>44</v>
      </c>
      <c r="M13" s="11"/>
      <c r="N13" s="11" t="s">
        <v>45</v>
      </c>
      <c r="O13" s="10"/>
    </row>
    <row r="14" customFormat="false" ht="15" hidden="false" customHeight="false" outlineLevel="0" collapsed="false">
      <c r="A14" s="11" t="n">
        <v>13</v>
      </c>
      <c r="B14" s="10" t="s">
        <v>81</v>
      </c>
      <c r="C14" s="10" t="s">
        <v>82</v>
      </c>
      <c r="D14" s="10" t="s">
        <v>79</v>
      </c>
      <c r="E14" s="10" t="s">
        <v>12</v>
      </c>
      <c r="F14" s="11" t="s">
        <v>80</v>
      </c>
      <c r="G14" s="11" t="s">
        <v>41</v>
      </c>
      <c r="H14" s="11" t="n">
        <v>3</v>
      </c>
      <c r="I14" s="11" t="s">
        <v>54</v>
      </c>
      <c r="J14" s="10"/>
      <c r="K14" s="11" t="s">
        <v>55</v>
      </c>
      <c r="L14" s="11" t="s">
        <v>56</v>
      </c>
      <c r="M14" s="11"/>
      <c r="N14" s="11" t="s">
        <v>45</v>
      </c>
      <c r="O14" s="10"/>
    </row>
    <row r="15" customFormat="false" ht="15" hidden="false" customHeight="false" outlineLevel="0" collapsed="false">
      <c r="A15" s="11" t="n">
        <v>14</v>
      </c>
      <c r="B15" s="10" t="s">
        <v>83</v>
      </c>
      <c r="C15" s="10" t="s">
        <v>84</v>
      </c>
      <c r="D15" s="10" t="s">
        <v>79</v>
      </c>
      <c r="E15" s="10" t="s">
        <v>12</v>
      </c>
      <c r="F15" s="11" t="s">
        <v>80</v>
      </c>
      <c r="G15" s="11" t="s">
        <v>48</v>
      </c>
      <c r="H15" s="11" t="n">
        <v>3</v>
      </c>
      <c r="I15" s="11" t="s">
        <v>59</v>
      </c>
      <c r="J15" s="10"/>
      <c r="K15" s="11" t="s">
        <v>55</v>
      </c>
      <c r="L15" s="11" t="s">
        <v>56</v>
      </c>
      <c r="M15" s="11"/>
      <c r="N15" s="11" t="s">
        <v>45</v>
      </c>
      <c r="O15" s="10"/>
    </row>
    <row r="16" customFormat="false" ht="15" hidden="false" customHeight="false" outlineLevel="0" collapsed="false">
      <c r="A16" s="11" t="n">
        <v>15</v>
      </c>
      <c r="B16" s="10" t="s">
        <v>85</v>
      </c>
      <c r="C16" s="10" t="s">
        <v>86</v>
      </c>
      <c r="D16" s="10" t="s">
        <v>79</v>
      </c>
      <c r="E16" s="10" t="s">
        <v>12</v>
      </c>
      <c r="F16" s="11" t="s">
        <v>80</v>
      </c>
      <c r="G16" s="11" t="s">
        <v>53</v>
      </c>
      <c r="H16" s="11" t="n">
        <v>3</v>
      </c>
      <c r="I16" s="11" t="s">
        <v>62</v>
      </c>
      <c r="J16" s="10"/>
      <c r="K16" s="11" t="s">
        <v>50</v>
      </c>
      <c r="L16" s="11" t="s">
        <v>44</v>
      </c>
      <c r="M16" s="11"/>
      <c r="N16" s="11" t="s">
        <v>45</v>
      </c>
      <c r="O16" s="10"/>
    </row>
    <row r="17" customFormat="false" ht="15" hidden="false" customHeight="false" outlineLevel="0" collapsed="false">
      <c r="A17" s="11" t="n">
        <v>16</v>
      </c>
      <c r="B17" s="10" t="s">
        <v>87</v>
      </c>
      <c r="C17" s="10" t="s">
        <v>88</v>
      </c>
      <c r="D17" s="10" t="s">
        <v>79</v>
      </c>
      <c r="E17" s="10" t="s">
        <v>12</v>
      </c>
      <c r="F17" s="11" t="s">
        <v>80</v>
      </c>
      <c r="G17" s="11" t="s">
        <v>41</v>
      </c>
      <c r="H17" s="11" t="n">
        <v>3</v>
      </c>
      <c r="I17" s="11" t="s">
        <v>42</v>
      </c>
      <c r="J17" s="10"/>
      <c r="K17" s="11" t="s">
        <v>43</v>
      </c>
      <c r="L17" s="11" t="s">
        <v>44</v>
      </c>
      <c r="M17" s="11"/>
      <c r="N17" s="11" t="s">
        <v>45</v>
      </c>
      <c r="O17" s="10"/>
    </row>
    <row r="18" customFormat="false" ht="15" hidden="false" customHeight="false" outlineLevel="0" collapsed="false">
      <c r="A18" s="11" t="n">
        <v>17</v>
      </c>
      <c r="B18" s="10" t="s">
        <v>89</v>
      </c>
      <c r="C18" s="10" t="s">
        <v>90</v>
      </c>
      <c r="D18" s="10" t="s">
        <v>79</v>
      </c>
      <c r="E18" s="10" t="s">
        <v>12</v>
      </c>
      <c r="F18" s="11" t="s">
        <v>80</v>
      </c>
      <c r="G18" s="11" t="s">
        <v>48</v>
      </c>
      <c r="H18" s="11" t="n">
        <v>3</v>
      </c>
      <c r="I18" s="11" t="s">
        <v>49</v>
      </c>
      <c r="J18" s="10"/>
      <c r="K18" s="11" t="s">
        <v>50</v>
      </c>
      <c r="L18" s="11" t="s">
        <v>44</v>
      </c>
      <c r="M18" s="11"/>
      <c r="N18" s="11" t="s">
        <v>45</v>
      </c>
      <c r="O18" s="10"/>
    </row>
    <row r="19" customFormat="false" ht="15" hidden="false" customHeight="false" outlineLevel="0" collapsed="false">
      <c r="A19" s="11" t="n">
        <v>18</v>
      </c>
      <c r="B19" s="10" t="s">
        <v>91</v>
      </c>
      <c r="C19" s="10" t="s">
        <v>92</v>
      </c>
      <c r="D19" s="10" t="s">
        <v>93</v>
      </c>
      <c r="E19" s="10" t="s">
        <v>12</v>
      </c>
      <c r="F19" s="11" t="s">
        <v>94</v>
      </c>
      <c r="G19" s="11" t="s">
        <v>53</v>
      </c>
      <c r="H19" s="11" t="n">
        <v>1</v>
      </c>
      <c r="I19" s="11" t="s">
        <v>54</v>
      </c>
      <c r="J19" s="10"/>
      <c r="K19" s="11" t="s">
        <v>55</v>
      </c>
      <c r="L19" s="11" t="s">
        <v>56</v>
      </c>
      <c r="M19" s="11"/>
      <c r="N19" s="11" t="s">
        <v>45</v>
      </c>
      <c r="O19" s="10"/>
    </row>
    <row r="20" customFormat="false" ht="15" hidden="false" customHeight="false" outlineLevel="0" collapsed="false">
      <c r="A20" s="11" t="n">
        <v>19</v>
      </c>
      <c r="B20" s="10" t="s">
        <v>95</v>
      </c>
      <c r="C20" s="10" t="s">
        <v>96</v>
      </c>
      <c r="D20" s="10" t="s">
        <v>93</v>
      </c>
      <c r="E20" s="10" t="s">
        <v>12</v>
      </c>
      <c r="F20" s="11" t="s">
        <v>94</v>
      </c>
      <c r="G20" s="11" t="s">
        <v>41</v>
      </c>
      <c r="H20" s="11" t="n">
        <v>1</v>
      </c>
      <c r="I20" s="11" t="s">
        <v>59</v>
      </c>
      <c r="J20" s="10"/>
      <c r="K20" s="11" t="s">
        <v>55</v>
      </c>
      <c r="L20" s="11" t="s">
        <v>56</v>
      </c>
      <c r="M20" s="11"/>
      <c r="N20" s="11" t="s">
        <v>45</v>
      </c>
      <c r="O20" s="10"/>
    </row>
    <row r="21" customFormat="false" ht="15" hidden="false" customHeight="false" outlineLevel="0" collapsed="false">
      <c r="A21" s="11" t="n">
        <v>20</v>
      </c>
      <c r="B21" s="10" t="s">
        <v>97</v>
      </c>
      <c r="C21" s="10" t="s">
        <v>98</v>
      </c>
      <c r="D21" s="10" t="s">
        <v>93</v>
      </c>
      <c r="E21" s="10" t="s">
        <v>12</v>
      </c>
      <c r="F21" s="11" t="s">
        <v>94</v>
      </c>
      <c r="G21" s="11" t="s">
        <v>48</v>
      </c>
      <c r="H21" s="11" t="n">
        <v>1</v>
      </c>
      <c r="I21" s="11" t="s">
        <v>62</v>
      </c>
      <c r="J21" s="10"/>
      <c r="K21" s="11" t="s">
        <v>50</v>
      </c>
      <c r="L21" s="11" t="s">
        <v>44</v>
      </c>
      <c r="M21" s="11"/>
      <c r="N21" s="11" t="s">
        <v>68</v>
      </c>
      <c r="O21" s="10"/>
    </row>
    <row r="22" customFormat="false" ht="15" hidden="false" customHeight="false" outlineLevel="0" collapsed="false">
      <c r="A22" s="11" t="n">
        <v>21</v>
      </c>
      <c r="B22" s="10" t="s">
        <v>99</v>
      </c>
      <c r="C22" s="10" t="s">
        <v>100</v>
      </c>
      <c r="D22" s="10" t="s">
        <v>93</v>
      </c>
      <c r="E22" s="10" t="s">
        <v>12</v>
      </c>
      <c r="F22" s="11" t="s">
        <v>94</v>
      </c>
      <c r="G22" s="11" t="s">
        <v>53</v>
      </c>
      <c r="H22" s="11" t="n">
        <v>1</v>
      </c>
      <c r="I22" s="11" t="s">
        <v>42</v>
      </c>
      <c r="J22" s="10"/>
      <c r="K22" s="11" t="s">
        <v>43</v>
      </c>
      <c r="L22" s="11" t="s">
        <v>44</v>
      </c>
      <c r="M22" s="11"/>
      <c r="N22" s="11" t="s">
        <v>45</v>
      </c>
      <c r="O22" s="10"/>
    </row>
    <row r="23" customFormat="false" ht="15" hidden="false" customHeight="false" outlineLevel="0" collapsed="false">
      <c r="A23" s="11" t="n">
        <v>22</v>
      </c>
      <c r="B23" s="10" t="s">
        <v>101</v>
      </c>
      <c r="C23" s="10" t="s">
        <v>102</v>
      </c>
      <c r="D23" s="10" t="s">
        <v>93</v>
      </c>
      <c r="E23" s="10" t="s">
        <v>12</v>
      </c>
      <c r="F23" s="11" t="s">
        <v>94</v>
      </c>
      <c r="G23" s="11" t="s">
        <v>41</v>
      </c>
      <c r="H23" s="11" t="n">
        <v>1</v>
      </c>
      <c r="I23" s="11" t="s">
        <v>49</v>
      </c>
      <c r="J23" s="10"/>
      <c r="K23" s="11" t="s">
        <v>50</v>
      </c>
      <c r="L23" s="11" t="s">
        <v>44</v>
      </c>
      <c r="M23" s="11"/>
      <c r="N23" s="11" t="s">
        <v>45</v>
      </c>
      <c r="O23" s="10"/>
    </row>
    <row r="24" customFormat="false" ht="15" hidden="false" customHeight="false" outlineLevel="0" collapsed="false">
      <c r="A24" s="11" t="n">
        <v>23</v>
      </c>
      <c r="B24" s="10" t="s">
        <v>103</v>
      </c>
      <c r="C24" s="10" t="s">
        <v>104</v>
      </c>
      <c r="D24" s="10" t="s">
        <v>105</v>
      </c>
      <c r="E24" s="10" t="s">
        <v>12</v>
      </c>
      <c r="F24" s="11" t="s">
        <v>106</v>
      </c>
      <c r="G24" s="11" t="s">
        <v>48</v>
      </c>
      <c r="H24" s="11" t="n">
        <v>1</v>
      </c>
      <c r="I24" s="11" t="s">
        <v>54</v>
      </c>
      <c r="J24" s="10"/>
      <c r="K24" s="11" t="s">
        <v>55</v>
      </c>
      <c r="L24" s="11" t="s">
        <v>56</v>
      </c>
      <c r="M24" s="11"/>
      <c r="N24" s="11" t="s">
        <v>45</v>
      </c>
      <c r="O24" s="10"/>
    </row>
    <row r="25" customFormat="false" ht="15" hidden="false" customHeight="false" outlineLevel="0" collapsed="false">
      <c r="A25" s="11" t="n">
        <v>24</v>
      </c>
      <c r="B25" s="10" t="s">
        <v>107</v>
      </c>
      <c r="C25" s="10" t="s">
        <v>108</v>
      </c>
      <c r="D25" s="10" t="s">
        <v>105</v>
      </c>
      <c r="E25" s="10" t="s">
        <v>12</v>
      </c>
      <c r="F25" s="11" t="s">
        <v>106</v>
      </c>
      <c r="G25" s="11" t="s">
        <v>53</v>
      </c>
      <c r="H25" s="11" t="n">
        <v>1</v>
      </c>
      <c r="I25" s="11" t="s">
        <v>59</v>
      </c>
      <c r="J25" s="10"/>
      <c r="K25" s="11" t="s">
        <v>55</v>
      </c>
      <c r="L25" s="11" t="s">
        <v>56</v>
      </c>
      <c r="M25" s="11"/>
      <c r="N25" s="11" t="s">
        <v>45</v>
      </c>
      <c r="O25" s="10"/>
    </row>
    <row r="26" customFormat="false" ht="15" hidden="false" customHeight="false" outlineLevel="0" collapsed="false">
      <c r="A26" s="11" t="n">
        <v>25</v>
      </c>
      <c r="B26" s="10" t="s">
        <v>109</v>
      </c>
      <c r="C26" s="10" t="s">
        <v>110</v>
      </c>
      <c r="D26" s="10" t="s">
        <v>105</v>
      </c>
      <c r="E26" s="10" t="s">
        <v>12</v>
      </c>
      <c r="F26" s="11" t="s">
        <v>106</v>
      </c>
      <c r="G26" s="11" t="s">
        <v>41</v>
      </c>
      <c r="H26" s="11" t="n">
        <v>1</v>
      </c>
      <c r="I26" s="11" t="s">
        <v>62</v>
      </c>
      <c r="J26" s="10"/>
      <c r="K26" s="11" t="s">
        <v>50</v>
      </c>
      <c r="L26" s="11" t="s">
        <v>44</v>
      </c>
      <c r="M26" s="11"/>
      <c r="N26" s="11" t="s">
        <v>45</v>
      </c>
      <c r="O26" s="10"/>
    </row>
    <row r="27" customFormat="false" ht="15" hidden="false" customHeight="false" outlineLevel="0" collapsed="false">
      <c r="A27" s="11" t="n">
        <v>26</v>
      </c>
      <c r="B27" s="10" t="s">
        <v>111</v>
      </c>
      <c r="C27" s="10" t="s">
        <v>112</v>
      </c>
      <c r="D27" s="10" t="s">
        <v>105</v>
      </c>
      <c r="E27" s="10" t="s">
        <v>12</v>
      </c>
      <c r="F27" s="11" t="s">
        <v>106</v>
      </c>
      <c r="G27" s="11" t="s">
        <v>48</v>
      </c>
      <c r="H27" s="11" t="n">
        <v>1</v>
      </c>
      <c r="I27" s="11" t="s">
        <v>42</v>
      </c>
      <c r="J27" s="10"/>
      <c r="K27" s="11" t="s">
        <v>43</v>
      </c>
      <c r="L27" s="11" t="s">
        <v>44</v>
      </c>
      <c r="M27" s="11"/>
      <c r="N27" s="11" t="s">
        <v>68</v>
      </c>
      <c r="O27" s="10"/>
    </row>
    <row r="28" customFormat="false" ht="15" hidden="false" customHeight="false" outlineLevel="0" collapsed="false">
      <c r="A28" s="11" t="n">
        <v>27</v>
      </c>
      <c r="B28" s="10" t="s">
        <v>113</v>
      </c>
      <c r="C28" s="10" t="s">
        <v>114</v>
      </c>
      <c r="D28" s="10" t="s">
        <v>105</v>
      </c>
      <c r="E28" s="10" t="s">
        <v>12</v>
      </c>
      <c r="F28" s="11" t="s">
        <v>106</v>
      </c>
      <c r="G28" s="11" t="s">
        <v>53</v>
      </c>
      <c r="H28" s="11" t="n">
        <v>1</v>
      </c>
      <c r="I28" s="11" t="s">
        <v>49</v>
      </c>
      <c r="J28" s="10"/>
      <c r="K28" s="11" t="s">
        <v>50</v>
      </c>
      <c r="L28" s="11" t="s">
        <v>44</v>
      </c>
      <c r="M28" s="11"/>
      <c r="N28" s="11" t="s">
        <v>45</v>
      </c>
      <c r="O28" s="10"/>
    </row>
    <row r="29" customFormat="false" ht="15" hidden="false" customHeight="false" outlineLevel="0" collapsed="false">
      <c r="A29" s="11" t="n">
        <v>28</v>
      </c>
      <c r="B29" s="10" t="s">
        <v>115</v>
      </c>
      <c r="C29" s="10" t="s">
        <v>116</v>
      </c>
      <c r="D29" s="10" t="s">
        <v>105</v>
      </c>
      <c r="E29" s="10" t="s">
        <v>12</v>
      </c>
      <c r="F29" s="11" t="s">
        <v>106</v>
      </c>
      <c r="G29" s="11" t="s">
        <v>41</v>
      </c>
      <c r="H29" s="11" t="n">
        <v>1</v>
      </c>
      <c r="I29" s="11" t="s">
        <v>54</v>
      </c>
      <c r="J29" s="10"/>
      <c r="K29" s="11" t="s">
        <v>55</v>
      </c>
      <c r="L29" s="11" t="s">
        <v>56</v>
      </c>
      <c r="M29" s="11"/>
      <c r="N29" s="11" t="s">
        <v>45</v>
      </c>
      <c r="O29" s="10"/>
    </row>
    <row r="30" customFormat="false" ht="15" hidden="false" customHeight="false" outlineLevel="0" collapsed="false">
      <c r="A30" s="11" t="n">
        <v>29</v>
      </c>
      <c r="B30" s="10" t="s">
        <v>117</v>
      </c>
      <c r="C30" s="10" t="s">
        <v>118</v>
      </c>
      <c r="D30" s="10" t="s">
        <v>105</v>
      </c>
      <c r="E30" s="10" t="s">
        <v>12</v>
      </c>
      <c r="F30" s="11" t="s">
        <v>106</v>
      </c>
      <c r="G30" s="11" t="s">
        <v>48</v>
      </c>
      <c r="H30" s="11" t="n">
        <v>1</v>
      </c>
      <c r="I30" s="11" t="s">
        <v>59</v>
      </c>
      <c r="J30" s="10"/>
      <c r="K30" s="11" t="s">
        <v>55</v>
      </c>
      <c r="L30" s="11" t="s">
        <v>56</v>
      </c>
      <c r="M30" s="11"/>
      <c r="N30" s="11" t="s">
        <v>45</v>
      </c>
      <c r="O30" s="10"/>
    </row>
    <row r="31" customFormat="false" ht="15" hidden="false" customHeight="false" outlineLevel="0" collapsed="false">
      <c r="A31" s="11" t="n">
        <v>30</v>
      </c>
      <c r="B31" s="10" t="s">
        <v>119</v>
      </c>
      <c r="C31" s="10" t="s">
        <v>120</v>
      </c>
      <c r="D31" s="10" t="s">
        <v>121</v>
      </c>
      <c r="E31" s="10" t="s">
        <v>12</v>
      </c>
      <c r="F31" s="11" t="s">
        <v>94</v>
      </c>
      <c r="G31" s="11" t="s">
        <v>53</v>
      </c>
      <c r="H31" s="11" t="n">
        <v>1</v>
      </c>
      <c r="I31" s="11" t="s">
        <v>62</v>
      </c>
      <c r="J31" s="10"/>
      <c r="K31" s="11" t="s">
        <v>50</v>
      </c>
      <c r="L31" s="11" t="s">
        <v>44</v>
      </c>
      <c r="M31" s="11"/>
      <c r="N31" s="11" t="s">
        <v>45</v>
      </c>
      <c r="O31" s="10"/>
    </row>
    <row r="32" customFormat="false" ht="15" hidden="false" customHeight="false" outlineLevel="0" collapsed="false">
      <c r="A32" s="11" t="n">
        <v>31</v>
      </c>
      <c r="B32" s="10" t="s">
        <v>122</v>
      </c>
      <c r="C32" s="10" t="s">
        <v>123</v>
      </c>
      <c r="D32" s="10" t="s">
        <v>121</v>
      </c>
      <c r="E32" s="10" t="s">
        <v>12</v>
      </c>
      <c r="F32" s="11" t="s">
        <v>94</v>
      </c>
      <c r="G32" s="11" t="s">
        <v>41</v>
      </c>
      <c r="H32" s="11" t="n">
        <v>1</v>
      </c>
      <c r="I32" s="11" t="s">
        <v>42</v>
      </c>
      <c r="J32" s="10"/>
      <c r="K32" s="11" t="s">
        <v>43</v>
      </c>
      <c r="L32" s="11" t="s">
        <v>44</v>
      </c>
      <c r="M32" s="11"/>
      <c r="N32" s="11" t="s">
        <v>45</v>
      </c>
      <c r="O32" s="10"/>
    </row>
    <row r="33" customFormat="false" ht="15" hidden="false" customHeight="false" outlineLevel="0" collapsed="false">
      <c r="A33" s="11" t="n">
        <v>32</v>
      </c>
      <c r="B33" s="10" t="s">
        <v>124</v>
      </c>
      <c r="C33" s="10" t="s">
        <v>125</v>
      </c>
      <c r="D33" s="10" t="s">
        <v>121</v>
      </c>
      <c r="E33" s="10" t="s">
        <v>12</v>
      </c>
      <c r="F33" s="11" t="s">
        <v>94</v>
      </c>
      <c r="G33" s="11" t="s">
        <v>48</v>
      </c>
      <c r="H33" s="11" t="n">
        <v>1</v>
      </c>
      <c r="I33" s="11" t="s">
        <v>49</v>
      </c>
      <c r="J33" s="10"/>
      <c r="K33" s="11" t="s">
        <v>50</v>
      </c>
      <c r="L33" s="11" t="s">
        <v>44</v>
      </c>
      <c r="M33" s="11"/>
      <c r="N33" s="11" t="s">
        <v>45</v>
      </c>
      <c r="O33" s="10"/>
    </row>
    <row r="34" customFormat="false" ht="15" hidden="false" customHeight="false" outlineLevel="0" collapsed="false">
      <c r="A34" s="11" t="n">
        <v>33</v>
      </c>
      <c r="B34" s="10" t="s">
        <v>126</v>
      </c>
      <c r="C34" s="10" t="s">
        <v>127</v>
      </c>
      <c r="D34" s="10" t="s">
        <v>121</v>
      </c>
      <c r="E34" s="10" t="s">
        <v>12</v>
      </c>
      <c r="F34" s="11" t="s">
        <v>94</v>
      </c>
      <c r="G34" s="11" t="s">
        <v>53</v>
      </c>
      <c r="H34" s="11" t="n">
        <v>1</v>
      </c>
      <c r="I34" s="11" t="s">
        <v>54</v>
      </c>
      <c r="J34" s="10"/>
      <c r="K34" s="11" t="s">
        <v>55</v>
      </c>
      <c r="L34" s="11" t="s">
        <v>56</v>
      </c>
      <c r="M34" s="11"/>
      <c r="N34" s="11" t="s">
        <v>45</v>
      </c>
      <c r="O34" s="10"/>
    </row>
    <row r="35" customFormat="false" ht="15" hidden="false" customHeight="false" outlineLevel="0" collapsed="false">
      <c r="A35" s="11" t="n">
        <v>34</v>
      </c>
      <c r="B35" s="10" t="s">
        <v>128</v>
      </c>
      <c r="C35" s="10" t="s">
        <v>129</v>
      </c>
      <c r="D35" s="10" t="s">
        <v>121</v>
      </c>
      <c r="E35" s="10" t="s">
        <v>12</v>
      </c>
      <c r="F35" s="11" t="s">
        <v>94</v>
      </c>
      <c r="G35" s="11" t="s">
        <v>41</v>
      </c>
      <c r="H35" s="11" t="n">
        <v>1</v>
      </c>
      <c r="I35" s="11" t="s">
        <v>59</v>
      </c>
      <c r="J35" s="10"/>
      <c r="K35" s="11" t="s">
        <v>55</v>
      </c>
      <c r="L35" s="11" t="s">
        <v>56</v>
      </c>
      <c r="M35" s="11"/>
      <c r="N35" s="11" t="s">
        <v>130</v>
      </c>
      <c r="O35" s="10"/>
    </row>
    <row r="36" customFormat="false" ht="15" hidden="false" customHeight="false" outlineLevel="0" collapsed="false">
      <c r="A36" s="11" t="n">
        <v>35</v>
      </c>
      <c r="B36" s="10" t="s">
        <v>131</v>
      </c>
      <c r="C36" s="10" t="s">
        <v>132</v>
      </c>
      <c r="D36" s="10" t="s">
        <v>121</v>
      </c>
      <c r="E36" s="10" t="s">
        <v>12</v>
      </c>
      <c r="F36" s="11" t="s">
        <v>94</v>
      </c>
      <c r="G36" s="11" t="s">
        <v>48</v>
      </c>
      <c r="H36" s="11" t="n">
        <v>1</v>
      </c>
      <c r="I36" s="11" t="s">
        <v>62</v>
      </c>
      <c r="J36" s="10"/>
      <c r="K36" s="11" t="s">
        <v>50</v>
      </c>
      <c r="L36" s="11" t="s">
        <v>44</v>
      </c>
      <c r="M36" s="11"/>
      <c r="N36" s="11" t="s">
        <v>45</v>
      </c>
      <c r="O36" s="10"/>
    </row>
    <row r="37" customFormat="false" ht="15" hidden="false" customHeight="false" outlineLevel="0" collapsed="false">
      <c r="A37" s="11" t="n">
        <v>36</v>
      </c>
      <c r="B37" s="10" t="s">
        <v>133</v>
      </c>
      <c r="C37" s="10" t="s">
        <v>134</v>
      </c>
      <c r="D37" s="10" t="s">
        <v>121</v>
      </c>
      <c r="E37" s="10" t="s">
        <v>12</v>
      </c>
      <c r="F37" s="11" t="s">
        <v>94</v>
      </c>
      <c r="G37" s="11" t="s">
        <v>53</v>
      </c>
      <c r="H37" s="11" t="n">
        <v>1</v>
      </c>
      <c r="I37" s="11" t="s">
        <v>42</v>
      </c>
      <c r="J37" s="10"/>
      <c r="K37" s="11" t="s">
        <v>43</v>
      </c>
      <c r="L37" s="11" t="s">
        <v>44</v>
      </c>
      <c r="M37" s="11"/>
      <c r="N37" s="11" t="s">
        <v>45</v>
      </c>
      <c r="O37" s="10"/>
    </row>
    <row r="38" customFormat="false" ht="23.85" hidden="false" customHeight="false" outlineLevel="0" collapsed="false">
      <c r="A38" s="11" t="n">
        <v>37</v>
      </c>
      <c r="B38" s="10" t="s">
        <v>135</v>
      </c>
      <c r="C38" s="10" t="s">
        <v>136</v>
      </c>
      <c r="D38" s="10" t="s">
        <v>121</v>
      </c>
      <c r="E38" s="10" t="s">
        <v>12</v>
      </c>
      <c r="F38" s="11" t="s">
        <v>94</v>
      </c>
      <c r="G38" s="11" t="s">
        <v>41</v>
      </c>
      <c r="H38" s="11" t="n">
        <v>1</v>
      </c>
      <c r="I38" s="11" t="s">
        <v>49</v>
      </c>
      <c r="J38" s="10"/>
      <c r="K38" s="11" t="s">
        <v>50</v>
      </c>
      <c r="L38" s="11" t="s">
        <v>44</v>
      </c>
      <c r="M38" s="11"/>
      <c r="N38" s="11" t="s">
        <v>45</v>
      </c>
      <c r="O38" s="10"/>
    </row>
    <row r="39" customFormat="false" ht="15" hidden="false" customHeight="false" outlineLevel="0" collapsed="false">
      <c r="A39" s="11" t="n">
        <v>38</v>
      </c>
      <c r="B39" s="10" t="s">
        <v>137</v>
      </c>
      <c r="C39" s="10" t="s">
        <v>138</v>
      </c>
      <c r="D39" s="10" t="s">
        <v>139</v>
      </c>
      <c r="E39" s="10" t="s">
        <v>12</v>
      </c>
      <c r="F39" s="11" t="s">
        <v>40</v>
      </c>
      <c r="G39" s="11" t="s">
        <v>48</v>
      </c>
      <c r="H39" s="11" t="n">
        <v>3</v>
      </c>
      <c r="I39" s="11" t="s">
        <v>54</v>
      </c>
      <c r="J39" s="10"/>
      <c r="K39" s="11" t="s">
        <v>55</v>
      </c>
      <c r="L39" s="11" t="s">
        <v>56</v>
      </c>
      <c r="M39" s="11"/>
      <c r="N39" s="11" t="s">
        <v>45</v>
      </c>
      <c r="O39" s="10"/>
    </row>
    <row r="40" customFormat="false" ht="15" hidden="false" customHeight="false" outlineLevel="0" collapsed="false">
      <c r="A40" s="11" t="n">
        <v>39</v>
      </c>
      <c r="B40" s="10" t="s">
        <v>140</v>
      </c>
      <c r="C40" s="10" t="s">
        <v>141</v>
      </c>
      <c r="D40" s="10" t="s">
        <v>139</v>
      </c>
      <c r="E40" s="10" t="s">
        <v>12</v>
      </c>
      <c r="F40" s="11" t="s">
        <v>40</v>
      </c>
      <c r="G40" s="11" t="s">
        <v>53</v>
      </c>
      <c r="H40" s="11" t="n">
        <v>3</v>
      </c>
      <c r="I40" s="11" t="s">
        <v>59</v>
      </c>
      <c r="J40" s="10"/>
      <c r="K40" s="11" t="s">
        <v>55</v>
      </c>
      <c r="L40" s="11" t="s">
        <v>56</v>
      </c>
      <c r="M40" s="11"/>
      <c r="N40" s="11" t="s">
        <v>45</v>
      </c>
      <c r="O40" s="10"/>
    </row>
    <row r="41" customFormat="false" ht="15" hidden="false" customHeight="false" outlineLevel="0" collapsed="false">
      <c r="A41" s="11" t="n">
        <v>40</v>
      </c>
      <c r="B41" s="10" t="s">
        <v>142</v>
      </c>
      <c r="C41" s="10" t="s">
        <v>143</v>
      </c>
      <c r="D41" s="10" t="s">
        <v>139</v>
      </c>
      <c r="E41" s="10" t="s">
        <v>12</v>
      </c>
      <c r="F41" s="11" t="s">
        <v>40</v>
      </c>
      <c r="G41" s="11" t="s">
        <v>41</v>
      </c>
      <c r="H41" s="11" t="n">
        <v>3</v>
      </c>
      <c r="I41" s="11" t="s">
        <v>62</v>
      </c>
      <c r="J41" s="10"/>
      <c r="K41" s="11" t="s">
        <v>50</v>
      </c>
      <c r="L41" s="11" t="s">
        <v>44</v>
      </c>
      <c r="M41" s="11"/>
      <c r="N41" s="11" t="s">
        <v>45</v>
      </c>
      <c r="O41" s="10"/>
    </row>
    <row r="42" customFormat="false" ht="15" hidden="false" customHeight="false" outlineLevel="0" collapsed="false">
      <c r="A42" s="11" t="n">
        <v>41</v>
      </c>
      <c r="B42" s="10" t="s">
        <v>144</v>
      </c>
      <c r="C42" s="10" t="s">
        <v>145</v>
      </c>
      <c r="D42" s="10" t="s">
        <v>139</v>
      </c>
      <c r="E42" s="10" t="s">
        <v>12</v>
      </c>
      <c r="F42" s="11" t="s">
        <v>40</v>
      </c>
      <c r="G42" s="11" t="s">
        <v>48</v>
      </c>
      <c r="H42" s="11" t="n">
        <v>3</v>
      </c>
      <c r="I42" s="11" t="s">
        <v>42</v>
      </c>
      <c r="J42" s="10"/>
      <c r="K42" s="11" t="s">
        <v>43</v>
      </c>
      <c r="L42" s="11" t="s">
        <v>44</v>
      </c>
      <c r="M42" s="11"/>
      <c r="N42" s="11" t="s">
        <v>45</v>
      </c>
      <c r="O42" s="10"/>
    </row>
    <row r="43" customFormat="false" ht="15" hidden="false" customHeight="false" outlineLevel="0" collapsed="false">
      <c r="A43" s="11" t="n">
        <v>42</v>
      </c>
      <c r="B43" s="10" t="s">
        <v>146</v>
      </c>
      <c r="C43" s="10" t="s">
        <v>147</v>
      </c>
      <c r="D43" s="10" t="s">
        <v>139</v>
      </c>
      <c r="E43" s="10" t="s">
        <v>12</v>
      </c>
      <c r="F43" s="11" t="s">
        <v>40</v>
      </c>
      <c r="G43" s="11" t="s">
        <v>53</v>
      </c>
      <c r="H43" s="11" t="n">
        <v>3</v>
      </c>
      <c r="I43" s="11" t="s">
        <v>49</v>
      </c>
      <c r="J43" s="10"/>
      <c r="K43" s="11" t="s">
        <v>50</v>
      </c>
      <c r="L43" s="11" t="s">
        <v>44</v>
      </c>
      <c r="M43" s="11"/>
      <c r="N43" s="11" t="s">
        <v>45</v>
      </c>
      <c r="O43" s="10"/>
    </row>
    <row r="44" customFormat="false" ht="15" hidden="false" customHeight="false" outlineLevel="0" collapsed="false">
      <c r="A44" s="11" t="n">
        <v>43</v>
      </c>
      <c r="B44" s="10" t="s">
        <v>148</v>
      </c>
      <c r="C44" s="10" t="s">
        <v>149</v>
      </c>
      <c r="D44" s="10" t="s">
        <v>150</v>
      </c>
      <c r="E44" s="10" t="s">
        <v>12</v>
      </c>
      <c r="F44" s="11" t="s">
        <v>151</v>
      </c>
      <c r="G44" s="11" t="s">
        <v>41</v>
      </c>
      <c r="H44" s="11" t="n">
        <v>1</v>
      </c>
      <c r="I44" s="11" t="s">
        <v>54</v>
      </c>
      <c r="J44" s="10"/>
      <c r="K44" s="11" t="s">
        <v>55</v>
      </c>
      <c r="L44" s="11" t="s">
        <v>56</v>
      </c>
      <c r="M44" s="11"/>
      <c r="N44" s="11" t="s">
        <v>68</v>
      </c>
      <c r="O44" s="10"/>
    </row>
    <row r="45" customFormat="false" ht="15" hidden="false" customHeight="false" outlineLevel="0" collapsed="false">
      <c r="A45" s="11" t="n">
        <v>44</v>
      </c>
      <c r="B45" s="10" t="s">
        <v>152</v>
      </c>
      <c r="C45" s="10" t="s">
        <v>153</v>
      </c>
      <c r="D45" s="10" t="s">
        <v>150</v>
      </c>
      <c r="E45" s="10" t="s">
        <v>12</v>
      </c>
      <c r="F45" s="11" t="s">
        <v>151</v>
      </c>
      <c r="G45" s="11" t="s">
        <v>48</v>
      </c>
      <c r="H45" s="11" t="n">
        <v>1</v>
      </c>
      <c r="I45" s="11" t="s">
        <v>59</v>
      </c>
      <c r="J45" s="10"/>
      <c r="K45" s="11" t="s">
        <v>55</v>
      </c>
      <c r="L45" s="11" t="s">
        <v>56</v>
      </c>
      <c r="M45" s="11"/>
      <c r="N45" s="11" t="s">
        <v>45</v>
      </c>
      <c r="O45" s="10"/>
    </row>
    <row r="46" customFormat="false" ht="15" hidden="false" customHeight="false" outlineLevel="0" collapsed="false">
      <c r="A46" s="11" t="n">
        <v>45</v>
      </c>
      <c r="B46" s="10" t="s">
        <v>154</v>
      </c>
      <c r="C46" s="10" t="s">
        <v>155</v>
      </c>
      <c r="D46" s="10" t="s">
        <v>150</v>
      </c>
      <c r="E46" s="10" t="s">
        <v>12</v>
      </c>
      <c r="F46" s="11" t="s">
        <v>151</v>
      </c>
      <c r="G46" s="11" t="s">
        <v>53</v>
      </c>
      <c r="H46" s="11" t="n">
        <v>1</v>
      </c>
      <c r="I46" s="11" t="s">
        <v>62</v>
      </c>
      <c r="J46" s="10"/>
      <c r="K46" s="11" t="s">
        <v>50</v>
      </c>
      <c r="L46" s="11" t="s">
        <v>44</v>
      </c>
      <c r="M46" s="11"/>
      <c r="N46" s="11" t="s">
        <v>45</v>
      </c>
      <c r="O46" s="10"/>
    </row>
    <row r="47" customFormat="false" ht="15" hidden="false" customHeight="false" outlineLevel="0" collapsed="false">
      <c r="A47" s="11" t="n">
        <v>46</v>
      </c>
      <c r="B47" s="10" t="s">
        <v>156</v>
      </c>
      <c r="C47" s="10" t="s">
        <v>157</v>
      </c>
      <c r="D47" s="10" t="s">
        <v>158</v>
      </c>
      <c r="E47" s="10" t="s">
        <v>13</v>
      </c>
      <c r="F47" s="11" t="s">
        <v>159</v>
      </c>
      <c r="G47" s="11" t="s">
        <v>41</v>
      </c>
      <c r="H47" s="11" t="n">
        <v>3</v>
      </c>
      <c r="I47" s="11" t="s">
        <v>42</v>
      </c>
      <c r="J47" s="10"/>
      <c r="K47" s="11" t="s">
        <v>43</v>
      </c>
      <c r="L47" s="11" t="s">
        <v>44</v>
      </c>
      <c r="M47" s="11" t="s">
        <v>160</v>
      </c>
      <c r="N47" s="11" t="s">
        <v>68</v>
      </c>
      <c r="O47" s="10"/>
    </row>
    <row r="48" customFormat="false" ht="15" hidden="false" customHeight="false" outlineLevel="0" collapsed="false">
      <c r="A48" s="11" t="n">
        <v>47</v>
      </c>
      <c r="B48" s="10" t="s">
        <v>161</v>
      </c>
      <c r="C48" s="10" t="s">
        <v>162</v>
      </c>
      <c r="D48" s="10" t="s">
        <v>158</v>
      </c>
      <c r="E48" s="10" t="s">
        <v>13</v>
      </c>
      <c r="F48" s="11" t="s">
        <v>159</v>
      </c>
      <c r="G48" s="11" t="s">
        <v>48</v>
      </c>
      <c r="H48" s="11" t="n">
        <v>3</v>
      </c>
      <c r="I48" s="11" t="s">
        <v>49</v>
      </c>
      <c r="J48" s="10"/>
      <c r="K48" s="11" t="s">
        <v>50</v>
      </c>
      <c r="L48" s="11" t="s">
        <v>44</v>
      </c>
      <c r="M48" s="11" t="s">
        <v>160</v>
      </c>
      <c r="N48" s="11" t="s">
        <v>45</v>
      </c>
      <c r="O48" s="10"/>
    </row>
    <row r="49" customFormat="false" ht="15" hidden="false" customHeight="false" outlineLevel="0" collapsed="false">
      <c r="A49" s="11" t="n">
        <v>48</v>
      </c>
      <c r="B49" s="10" t="s">
        <v>163</v>
      </c>
      <c r="C49" s="10" t="s">
        <v>164</v>
      </c>
      <c r="D49" s="10" t="s">
        <v>158</v>
      </c>
      <c r="E49" s="10" t="s">
        <v>13</v>
      </c>
      <c r="F49" s="11" t="s">
        <v>159</v>
      </c>
      <c r="G49" s="11" t="s">
        <v>53</v>
      </c>
      <c r="H49" s="11" t="n">
        <v>3</v>
      </c>
      <c r="I49" s="11" t="s">
        <v>54</v>
      </c>
      <c r="J49" s="10"/>
      <c r="K49" s="11" t="s">
        <v>55</v>
      </c>
      <c r="L49" s="11" t="s">
        <v>56</v>
      </c>
      <c r="M49" s="11" t="s">
        <v>160</v>
      </c>
      <c r="N49" s="11" t="s">
        <v>45</v>
      </c>
      <c r="O49" s="10"/>
    </row>
    <row r="50" customFormat="false" ht="15" hidden="false" customHeight="false" outlineLevel="0" collapsed="false">
      <c r="A50" s="11" t="n">
        <v>49</v>
      </c>
      <c r="B50" s="10" t="s">
        <v>165</v>
      </c>
      <c r="C50" s="10" t="s">
        <v>166</v>
      </c>
      <c r="D50" s="10" t="s">
        <v>158</v>
      </c>
      <c r="E50" s="10" t="s">
        <v>13</v>
      </c>
      <c r="F50" s="11" t="s">
        <v>159</v>
      </c>
      <c r="G50" s="11" t="s">
        <v>41</v>
      </c>
      <c r="H50" s="11" t="n">
        <v>3</v>
      </c>
      <c r="I50" s="11" t="s">
        <v>59</v>
      </c>
      <c r="J50" s="10"/>
      <c r="K50" s="11" t="s">
        <v>55</v>
      </c>
      <c r="L50" s="11" t="s">
        <v>56</v>
      </c>
      <c r="M50" s="11" t="s">
        <v>160</v>
      </c>
      <c r="N50" s="11" t="s">
        <v>45</v>
      </c>
      <c r="O50" s="10"/>
    </row>
    <row r="51" customFormat="false" ht="15" hidden="false" customHeight="false" outlineLevel="0" collapsed="false">
      <c r="A51" s="11" t="n">
        <v>50</v>
      </c>
      <c r="B51" s="10" t="s">
        <v>167</v>
      </c>
      <c r="C51" s="10" t="s">
        <v>168</v>
      </c>
      <c r="D51" s="10" t="s">
        <v>158</v>
      </c>
      <c r="E51" s="10" t="s">
        <v>13</v>
      </c>
      <c r="F51" s="11" t="s">
        <v>159</v>
      </c>
      <c r="G51" s="11" t="s">
        <v>48</v>
      </c>
      <c r="H51" s="11" t="n">
        <v>3</v>
      </c>
      <c r="I51" s="11" t="s">
        <v>62</v>
      </c>
      <c r="J51" s="10"/>
      <c r="K51" s="11" t="s">
        <v>50</v>
      </c>
      <c r="L51" s="11" t="s">
        <v>44</v>
      </c>
      <c r="M51" s="11" t="s">
        <v>160</v>
      </c>
      <c r="N51" s="11" t="s">
        <v>45</v>
      </c>
      <c r="O51" s="10"/>
    </row>
    <row r="52" customFormat="false" ht="15" hidden="false" customHeight="false" outlineLevel="0" collapsed="false">
      <c r="A52" s="11" t="n">
        <v>51</v>
      </c>
      <c r="B52" s="10" t="s">
        <v>169</v>
      </c>
      <c r="C52" s="10" t="s">
        <v>170</v>
      </c>
      <c r="D52" s="10" t="s">
        <v>158</v>
      </c>
      <c r="E52" s="10" t="s">
        <v>13</v>
      </c>
      <c r="F52" s="11" t="s">
        <v>159</v>
      </c>
      <c r="G52" s="11" t="s">
        <v>53</v>
      </c>
      <c r="H52" s="11" t="n">
        <v>3</v>
      </c>
      <c r="I52" s="11" t="s">
        <v>42</v>
      </c>
      <c r="J52" s="10"/>
      <c r="K52" s="11" t="s">
        <v>43</v>
      </c>
      <c r="L52" s="11" t="s">
        <v>44</v>
      </c>
      <c r="M52" s="11" t="s">
        <v>160</v>
      </c>
      <c r="N52" s="11" t="s">
        <v>45</v>
      </c>
      <c r="O52" s="10"/>
    </row>
    <row r="53" customFormat="false" ht="15" hidden="false" customHeight="false" outlineLevel="0" collapsed="false">
      <c r="A53" s="11" t="n">
        <v>52</v>
      </c>
      <c r="B53" s="10" t="s">
        <v>171</v>
      </c>
      <c r="C53" s="10" t="s">
        <v>172</v>
      </c>
      <c r="D53" s="10" t="s">
        <v>158</v>
      </c>
      <c r="E53" s="10" t="s">
        <v>13</v>
      </c>
      <c r="F53" s="11" t="s">
        <v>159</v>
      </c>
      <c r="G53" s="11" t="s">
        <v>41</v>
      </c>
      <c r="H53" s="11" t="n">
        <v>3</v>
      </c>
      <c r="I53" s="11" t="s">
        <v>49</v>
      </c>
      <c r="J53" s="10"/>
      <c r="K53" s="11" t="s">
        <v>50</v>
      </c>
      <c r="L53" s="11" t="s">
        <v>44</v>
      </c>
      <c r="M53" s="11" t="s">
        <v>160</v>
      </c>
      <c r="N53" s="11" t="s">
        <v>45</v>
      </c>
      <c r="O53" s="10"/>
    </row>
    <row r="54" customFormat="false" ht="15" hidden="false" customHeight="false" outlineLevel="0" collapsed="false">
      <c r="A54" s="11" t="n">
        <v>53</v>
      </c>
      <c r="B54" s="10" t="s">
        <v>173</v>
      </c>
      <c r="C54" s="10" t="s">
        <v>174</v>
      </c>
      <c r="D54" s="10" t="s">
        <v>158</v>
      </c>
      <c r="E54" s="10" t="s">
        <v>13</v>
      </c>
      <c r="F54" s="11" t="s">
        <v>159</v>
      </c>
      <c r="G54" s="11" t="s">
        <v>48</v>
      </c>
      <c r="H54" s="11" t="n">
        <v>3</v>
      </c>
      <c r="I54" s="11" t="s">
        <v>54</v>
      </c>
      <c r="J54" s="10"/>
      <c r="K54" s="11" t="s">
        <v>55</v>
      </c>
      <c r="L54" s="11" t="s">
        <v>56</v>
      </c>
      <c r="M54" s="11" t="s">
        <v>160</v>
      </c>
      <c r="N54" s="11" t="s">
        <v>45</v>
      </c>
      <c r="O54" s="10"/>
    </row>
    <row r="55" customFormat="false" ht="23.85" hidden="false" customHeight="false" outlineLevel="0" collapsed="false">
      <c r="A55" s="11" t="n">
        <v>54</v>
      </c>
      <c r="B55" s="10" t="s">
        <v>175</v>
      </c>
      <c r="C55" s="10" t="s">
        <v>176</v>
      </c>
      <c r="D55" s="10" t="s">
        <v>177</v>
      </c>
      <c r="E55" s="10" t="s">
        <v>13</v>
      </c>
      <c r="F55" s="11" t="s">
        <v>178</v>
      </c>
      <c r="G55" s="11" t="s">
        <v>53</v>
      </c>
      <c r="H55" s="11" t="n">
        <v>3</v>
      </c>
      <c r="I55" s="11" t="s">
        <v>59</v>
      </c>
      <c r="J55" s="10"/>
      <c r="K55" s="11" t="s">
        <v>55</v>
      </c>
      <c r="L55" s="11" t="s">
        <v>56</v>
      </c>
      <c r="M55" s="11"/>
      <c r="N55" s="11" t="s">
        <v>45</v>
      </c>
      <c r="O55" s="10"/>
    </row>
    <row r="56" customFormat="false" ht="23.85" hidden="false" customHeight="false" outlineLevel="0" collapsed="false">
      <c r="A56" s="11" t="n">
        <v>55</v>
      </c>
      <c r="B56" s="10" t="s">
        <v>179</v>
      </c>
      <c r="C56" s="10" t="s">
        <v>180</v>
      </c>
      <c r="D56" s="10" t="s">
        <v>177</v>
      </c>
      <c r="E56" s="10" t="s">
        <v>13</v>
      </c>
      <c r="F56" s="11" t="s">
        <v>178</v>
      </c>
      <c r="G56" s="11" t="s">
        <v>41</v>
      </c>
      <c r="H56" s="11" t="n">
        <v>3</v>
      </c>
      <c r="I56" s="11" t="s">
        <v>62</v>
      </c>
      <c r="J56" s="10"/>
      <c r="K56" s="11" t="s">
        <v>50</v>
      </c>
      <c r="L56" s="11" t="s">
        <v>44</v>
      </c>
      <c r="M56" s="11"/>
      <c r="N56" s="11" t="s">
        <v>45</v>
      </c>
      <c r="O56" s="10"/>
    </row>
    <row r="57" customFormat="false" ht="23.85" hidden="false" customHeight="false" outlineLevel="0" collapsed="false">
      <c r="A57" s="11" t="n">
        <v>56</v>
      </c>
      <c r="B57" s="10" t="s">
        <v>181</v>
      </c>
      <c r="C57" s="10" t="s">
        <v>182</v>
      </c>
      <c r="D57" s="10" t="s">
        <v>177</v>
      </c>
      <c r="E57" s="10" t="s">
        <v>13</v>
      </c>
      <c r="F57" s="11" t="s">
        <v>178</v>
      </c>
      <c r="G57" s="11" t="s">
        <v>48</v>
      </c>
      <c r="H57" s="11" t="n">
        <v>3</v>
      </c>
      <c r="I57" s="11" t="s">
        <v>42</v>
      </c>
      <c r="J57" s="10"/>
      <c r="K57" s="11" t="s">
        <v>43</v>
      </c>
      <c r="L57" s="11" t="s">
        <v>44</v>
      </c>
      <c r="M57" s="11"/>
      <c r="N57" s="11" t="s">
        <v>45</v>
      </c>
      <c r="O57" s="10"/>
    </row>
    <row r="58" customFormat="false" ht="23.85" hidden="false" customHeight="false" outlineLevel="0" collapsed="false">
      <c r="A58" s="11" t="n">
        <v>57</v>
      </c>
      <c r="B58" s="10" t="s">
        <v>183</v>
      </c>
      <c r="C58" s="10" t="s">
        <v>184</v>
      </c>
      <c r="D58" s="10" t="s">
        <v>177</v>
      </c>
      <c r="E58" s="10" t="s">
        <v>13</v>
      </c>
      <c r="F58" s="11" t="s">
        <v>178</v>
      </c>
      <c r="G58" s="11" t="s">
        <v>53</v>
      </c>
      <c r="H58" s="11" t="n">
        <v>3</v>
      </c>
      <c r="I58" s="11" t="s">
        <v>49</v>
      </c>
      <c r="J58" s="10"/>
      <c r="K58" s="11" t="s">
        <v>50</v>
      </c>
      <c r="L58" s="11" t="s">
        <v>44</v>
      </c>
      <c r="M58" s="11"/>
      <c r="N58" s="11" t="s">
        <v>45</v>
      </c>
      <c r="O58" s="10"/>
    </row>
    <row r="59" customFormat="false" ht="15" hidden="false" customHeight="false" outlineLevel="0" collapsed="false">
      <c r="A59" s="11" t="n">
        <v>58</v>
      </c>
      <c r="B59" s="10" t="s">
        <v>185</v>
      </c>
      <c r="C59" s="10" t="s">
        <v>186</v>
      </c>
      <c r="D59" s="10" t="s">
        <v>177</v>
      </c>
      <c r="E59" s="10" t="s">
        <v>13</v>
      </c>
      <c r="F59" s="11" t="s">
        <v>178</v>
      </c>
      <c r="G59" s="11" t="s">
        <v>41</v>
      </c>
      <c r="H59" s="11" t="n">
        <v>3</v>
      </c>
      <c r="I59" s="11" t="s">
        <v>54</v>
      </c>
      <c r="J59" s="10"/>
      <c r="K59" s="11" t="s">
        <v>55</v>
      </c>
      <c r="L59" s="11" t="s">
        <v>56</v>
      </c>
      <c r="M59" s="11"/>
      <c r="N59" s="11" t="s">
        <v>45</v>
      </c>
      <c r="O59" s="10"/>
    </row>
    <row r="60" customFormat="false" ht="15" hidden="false" customHeight="false" outlineLevel="0" collapsed="false">
      <c r="A60" s="11" t="n">
        <v>59</v>
      </c>
      <c r="B60" s="10" t="s">
        <v>187</v>
      </c>
      <c r="C60" s="10" t="s">
        <v>188</v>
      </c>
      <c r="D60" s="10" t="s">
        <v>189</v>
      </c>
      <c r="E60" s="10" t="s">
        <v>13</v>
      </c>
      <c r="F60" s="11" t="s">
        <v>190</v>
      </c>
      <c r="G60" s="11" t="s">
        <v>48</v>
      </c>
      <c r="H60" s="11" t="n">
        <v>1</v>
      </c>
      <c r="I60" s="11" t="s">
        <v>59</v>
      </c>
      <c r="J60" s="10"/>
      <c r="K60" s="11" t="s">
        <v>55</v>
      </c>
      <c r="L60" s="11" t="s">
        <v>56</v>
      </c>
      <c r="M60" s="11"/>
      <c r="N60" s="11" t="s">
        <v>45</v>
      </c>
      <c r="O60" s="10"/>
    </row>
    <row r="61" customFormat="false" ht="15" hidden="false" customHeight="false" outlineLevel="0" collapsed="false">
      <c r="A61" s="11" t="n">
        <v>60</v>
      </c>
      <c r="B61" s="10" t="s">
        <v>191</v>
      </c>
      <c r="C61" s="10" t="s">
        <v>192</v>
      </c>
      <c r="D61" s="10" t="s">
        <v>189</v>
      </c>
      <c r="E61" s="10" t="s">
        <v>13</v>
      </c>
      <c r="F61" s="11" t="s">
        <v>190</v>
      </c>
      <c r="G61" s="11" t="s">
        <v>53</v>
      </c>
      <c r="H61" s="11" t="n">
        <v>1</v>
      </c>
      <c r="I61" s="11" t="s">
        <v>62</v>
      </c>
      <c r="J61" s="10"/>
      <c r="K61" s="11" t="s">
        <v>50</v>
      </c>
      <c r="L61" s="11" t="s">
        <v>44</v>
      </c>
      <c r="M61" s="11"/>
      <c r="N61" s="11" t="s">
        <v>45</v>
      </c>
      <c r="O61" s="10"/>
    </row>
    <row r="62" customFormat="false" ht="15" hidden="false" customHeight="false" outlineLevel="0" collapsed="false">
      <c r="A62" s="11" t="n">
        <v>61</v>
      </c>
      <c r="B62" s="10" t="s">
        <v>193</v>
      </c>
      <c r="C62" s="10" t="s">
        <v>194</v>
      </c>
      <c r="D62" s="10" t="s">
        <v>189</v>
      </c>
      <c r="E62" s="10" t="s">
        <v>13</v>
      </c>
      <c r="F62" s="11" t="s">
        <v>190</v>
      </c>
      <c r="G62" s="11" t="s">
        <v>41</v>
      </c>
      <c r="H62" s="11" t="n">
        <v>1</v>
      </c>
      <c r="I62" s="11" t="s">
        <v>42</v>
      </c>
      <c r="J62" s="10"/>
      <c r="K62" s="11" t="s">
        <v>43</v>
      </c>
      <c r="L62" s="11" t="s">
        <v>44</v>
      </c>
      <c r="M62" s="11"/>
      <c r="N62" s="11" t="s">
        <v>45</v>
      </c>
      <c r="O62" s="10"/>
    </row>
    <row r="63" customFormat="false" ht="15" hidden="false" customHeight="false" outlineLevel="0" collapsed="false">
      <c r="A63" s="11" t="n">
        <v>62</v>
      </c>
      <c r="B63" s="10" t="s">
        <v>195</v>
      </c>
      <c r="C63" s="10" t="s">
        <v>196</v>
      </c>
      <c r="D63" s="10" t="s">
        <v>189</v>
      </c>
      <c r="E63" s="10" t="s">
        <v>13</v>
      </c>
      <c r="F63" s="11" t="s">
        <v>190</v>
      </c>
      <c r="G63" s="11" t="s">
        <v>48</v>
      </c>
      <c r="H63" s="11" t="n">
        <v>1</v>
      </c>
      <c r="I63" s="11" t="s">
        <v>49</v>
      </c>
      <c r="J63" s="10"/>
      <c r="K63" s="11" t="s">
        <v>50</v>
      </c>
      <c r="L63" s="11" t="s">
        <v>44</v>
      </c>
      <c r="M63" s="11"/>
      <c r="N63" s="11" t="s">
        <v>45</v>
      </c>
      <c r="O63" s="10"/>
    </row>
    <row r="64" customFormat="false" ht="15" hidden="false" customHeight="false" outlineLevel="0" collapsed="false">
      <c r="A64" s="11" t="n">
        <v>63</v>
      </c>
      <c r="B64" s="10" t="s">
        <v>197</v>
      </c>
      <c r="C64" s="10" t="s">
        <v>198</v>
      </c>
      <c r="D64" s="10" t="s">
        <v>189</v>
      </c>
      <c r="E64" s="10" t="s">
        <v>13</v>
      </c>
      <c r="F64" s="11" t="s">
        <v>190</v>
      </c>
      <c r="G64" s="11" t="s">
        <v>53</v>
      </c>
      <c r="H64" s="11" t="n">
        <v>1</v>
      </c>
      <c r="I64" s="11" t="s">
        <v>54</v>
      </c>
      <c r="J64" s="10"/>
      <c r="K64" s="11" t="s">
        <v>55</v>
      </c>
      <c r="L64" s="11" t="s">
        <v>56</v>
      </c>
      <c r="M64" s="11"/>
      <c r="N64" s="11" t="s">
        <v>45</v>
      </c>
      <c r="O64" s="10"/>
    </row>
    <row r="65" customFormat="false" ht="23.85" hidden="false" customHeight="false" outlineLevel="0" collapsed="false">
      <c r="A65" s="11" t="n">
        <v>64</v>
      </c>
      <c r="B65" s="10" t="s">
        <v>199</v>
      </c>
      <c r="C65" s="10" t="s">
        <v>200</v>
      </c>
      <c r="D65" s="10" t="s">
        <v>201</v>
      </c>
      <c r="E65" s="10" t="s">
        <v>13</v>
      </c>
      <c r="F65" s="11" t="s">
        <v>202</v>
      </c>
      <c r="G65" s="11" t="s">
        <v>41</v>
      </c>
      <c r="H65" s="11" t="n">
        <v>1</v>
      </c>
      <c r="I65" s="11" t="s">
        <v>59</v>
      </c>
      <c r="J65" s="10"/>
      <c r="K65" s="11" t="s">
        <v>55</v>
      </c>
      <c r="L65" s="11" t="s">
        <v>56</v>
      </c>
      <c r="M65" s="11"/>
      <c r="N65" s="11" t="s">
        <v>45</v>
      </c>
      <c r="O65" s="10"/>
    </row>
    <row r="66" customFormat="false" ht="15" hidden="false" customHeight="false" outlineLevel="0" collapsed="false">
      <c r="A66" s="11" t="n">
        <v>65</v>
      </c>
      <c r="B66" s="10" t="s">
        <v>203</v>
      </c>
      <c r="C66" s="10" t="s">
        <v>204</v>
      </c>
      <c r="D66" s="10" t="s">
        <v>201</v>
      </c>
      <c r="E66" s="10" t="s">
        <v>13</v>
      </c>
      <c r="F66" s="11" t="s">
        <v>202</v>
      </c>
      <c r="G66" s="11" t="s">
        <v>48</v>
      </c>
      <c r="H66" s="11" t="n">
        <v>1</v>
      </c>
      <c r="I66" s="11" t="s">
        <v>62</v>
      </c>
      <c r="J66" s="10"/>
      <c r="K66" s="11" t="s">
        <v>50</v>
      </c>
      <c r="L66" s="11" t="s">
        <v>44</v>
      </c>
      <c r="M66" s="11"/>
      <c r="N66" s="11" t="s">
        <v>45</v>
      </c>
      <c r="O66" s="10"/>
    </row>
    <row r="67" customFormat="false" ht="15" hidden="false" customHeight="false" outlineLevel="0" collapsed="false">
      <c r="A67" s="11" t="n">
        <v>66</v>
      </c>
      <c r="B67" s="10" t="s">
        <v>205</v>
      </c>
      <c r="C67" s="10" t="s">
        <v>206</v>
      </c>
      <c r="D67" s="10" t="s">
        <v>201</v>
      </c>
      <c r="E67" s="10" t="s">
        <v>13</v>
      </c>
      <c r="F67" s="11" t="s">
        <v>202</v>
      </c>
      <c r="G67" s="11" t="s">
        <v>53</v>
      </c>
      <c r="H67" s="11" t="n">
        <v>1</v>
      </c>
      <c r="I67" s="11" t="s">
        <v>42</v>
      </c>
      <c r="J67" s="10"/>
      <c r="K67" s="11" t="s">
        <v>43</v>
      </c>
      <c r="L67" s="11" t="s">
        <v>44</v>
      </c>
      <c r="M67" s="11"/>
      <c r="N67" s="11" t="s">
        <v>45</v>
      </c>
      <c r="O67" s="10"/>
    </row>
    <row r="68" customFormat="false" ht="15" hidden="false" customHeight="false" outlineLevel="0" collapsed="false">
      <c r="A68" s="11" t="n">
        <v>67</v>
      </c>
      <c r="B68" s="10" t="s">
        <v>207</v>
      </c>
      <c r="C68" s="10" t="s">
        <v>208</v>
      </c>
      <c r="D68" s="10" t="s">
        <v>201</v>
      </c>
      <c r="E68" s="10" t="s">
        <v>13</v>
      </c>
      <c r="F68" s="11" t="s">
        <v>202</v>
      </c>
      <c r="G68" s="11" t="s">
        <v>41</v>
      </c>
      <c r="H68" s="11" t="n">
        <v>1</v>
      </c>
      <c r="I68" s="11" t="s">
        <v>49</v>
      </c>
      <c r="J68" s="10"/>
      <c r="K68" s="11" t="s">
        <v>50</v>
      </c>
      <c r="L68" s="11" t="s">
        <v>44</v>
      </c>
      <c r="M68" s="11"/>
      <c r="N68" s="11" t="s">
        <v>68</v>
      </c>
      <c r="O68" s="10"/>
    </row>
    <row r="69" customFormat="false" ht="15" hidden="false" customHeight="false" outlineLevel="0" collapsed="false">
      <c r="A69" s="11" t="n">
        <v>68</v>
      </c>
      <c r="B69" s="10" t="s">
        <v>209</v>
      </c>
      <c r="C69" s="10" t="s">
        <v>210</v>
      </c>
      <c r="D69" s="10" t="s">
        <v>201</v>
      </c>
      <c r="E69" s="10" t="s">
        <v>13</v>
      </c>
      <c r="F69" s="11" t="s">
        <v>202</v>
      </c>
      <c r="G69" s="11" t="s">
        <v>48</v>
      </c>
      <c r="H69" s="11" t="n">
        <v>1</v>
      </c>
      <c r="I69" s="11" t="s">
        <v>54</v>
      </c>
      <c r="J69" s="10"/>
      <c r="K69" s="11" t="s">
        <v>55</v>
      </c>
      <c r="L69" s="11" t="s">
        <v>56</v>
      </c>
      <c r="M69" s="11"/>
      <c r="N69" s="11" t="s">
        <v>45</v>
      </c>
      <c r="O69" s="10"/>
    </row>
    <row r="70" customFormat="false" ht="15" hidden="false" customHeight="false" outlineLevel="0" collapsed="false">
      <c r="A70" s="11" t="n">
        <v>69</v>
      </c>
      <c r="B70" s="10" t="s">
        <v>211</v>
      </c>
      <c r="C70" s="10" t="s">
        <v>212</v>
      </c>
      <c r="D70" s="10" t="s">
        <v>201</v>
      </c>
      <c r="E70" s="10" t="s">
        <v>13</v>
      </c>
      <c r="F70" s="11" t="s">
        <v>202</v>
      </c>
      <c r="G70" s="11" t="s">
        <v>53</v>
      </c>
      <c r="H70" s="11" t="n">
        <v>1</v>
      </c>
      <c r="I70" s="11" t="s">
        <v>59</v>
      </c>
      <c r="J70" s="10"/>
      <c r="K70" s="11" t="s">
        <v>55</v>
      </c>
      <c r="L70" s="11" t="s">
        <v>56</v>
      </c>
      <c r="M70" s="11"/>
      <c r="N70" s="11" t="s">
        <v>45</v>
      </c>
      <c r="O70" s="10"/>
    </row>
    <row r="71" customFormat="false" ht="15" hidden="false" customHeight="false" outlineLevel="0" collapsed="false">
      <c r="A71" s="11" t="n">
        <v>70</v>
      </c>
      <c r="B71" s="10" t="s">
        <v>213</v>
      </c>
      <c r="C71" s="10" t="s">
        <v>214</v>
      </c>
      <c r="D71" s="10" t="s">
        <v>215</v>
      </c>
      <c r="E71" s="10" t="s">
        <v>13</v>
      </c>
      <c r="F71" s="11" t="s">
        <v>151</v>
      </c>
      <c r="G71" s="11" t="s">
        <v>41</v>
      </c>
      <c r="H71" s="11" t="n">
        <v>1</v>
      </c>
      <c r="I71" s="11" t="s">
        <v>62</v>
      </c>
      <c r="J71" s="10"/>
      <c r="K71" s="11" t="s">
        <v>50</v>
      </c>
      <c r="L71" s="11" t="s">
        <v>44</v>
      </c>
      <c r="M71" s="11"/>
      <c r="N71" s="11" t="s">
        <v>45</v>
      </c>
      <c r="O71" s="10"/>
    </row>
    <row r="72" customFormat="false" ht="15" hidden="false" customHeight="false" outlineLevel="0" collapsed="false">
      <c r="A72" s="11" t="n">
        <v>71</v>
      </c>
      <c r="B72" s="10" t="s">
        <v>216</v>
      </c>
      <c r="C72" s="10" t="s">
        <v>217</v>
      </c>
      <c r="D72" s="10" t="s">
        <v>215</v>
      </c>
      <c r="E72" s="10" t="s">
        <v>13</v>
      </c>
      <c r="F72" s="11" t="s">
        <v>151</v>
      </c>
      <c r="G72" s="11" t="s">
        <v>48</v>
      </c>
      <c r="H72" s="11" t="n">
        <v>1</v>
      </c>
      <c r="I72" s="11" t="s">
        <v>42</v>
      </c>
      <c r="J72" s="10"/>
      <c r="K72" s="11" t="s">
        <v>43</v>
      </c>
      <c r="L72" s="11" t="s">
        <v>44</v>
      </c>
      <c r="M72" s="11"/>
      <c r="N72" s="11" t="s">
        <v>45</v>
      </c>
      <c r="O72" s="10"/>
    </row>
    <row r="73" customFormat="false" ht="15" hidden="false" customHeight="false" outlineLevel="0" collapsed="false">
      <c r="A73" s="11" t="n">
        <v>72</v>
      </c>
      <c r="B73" s="10" t="s">
        <v>218</v>
      </c>
      <c r="C73" s="10" t="s">
        <v>219</v>
      </c>
      <c r="D73" s="10" t="s">
        <v>215</v>
      </c>
      <c r="E73" s="10" t="s">
        <v>13</v>
      </c>
      <c r="F73" s="11" t="s">
        <v>151</v>
      </c>
      <c r="G73" s="11" t="s">
        <v>53</v>
      </c>
      <c r="H73" s="11" t="n">
        <v>1</v>
      </c>
      <c r="I73" s="11" t="s">
        <v>49</v>
      </c>
      <c r="J73" s="10"/>
      <c r="K73" s="11" t="s">
        <v>50</v>
      </c>
      <c r="L73" s="11" t="s">
        <v>44</v>
      </c>
      <c r="M73" s="11"/>
      <c r="N73" s="11" t="s">
        <v>45</v>
      </c>
      <c r="O73" s="10"/>
    </row>
    <row r="74" customFormat="false" ht="15" hidden="false" customHeight="false" outlineLevel="0" collapsed="false">
      <c r="A74" s="11" t="n">
        <v>73</v>
      </c>
      <c r="B74" s="10" t="s">
        <v>220</v>
      </c>
      <c r="C74" s="10" t="s">
        <v>221</v>
      </c>
      <c r="D74" s="10" t="s">
        <v>215</v>
      </c>
      <c r="E74" s="10" t="s">
        <v>13</v>
      </c>
      <c r="F74" s="11" t="s">
        <v>151</v>
      </c>
      <c r="G74" s="11" t="s">
        <v>41</v>
      </c>
      <c r="H74" s="11" t="n">
        <v>1</v>
      </c>
      <c r="I74" s="11" t="s">
        <v>54</v>
      </c>
      <c r="J74" s="10"/>
      <c r="K74" s="11" t="s">
        <v>55</v>
      </c>
      <c r="L74" s="11" t="s">
        <v>56</v>
      </c>
      <c r="M74" s="11"/>
      <c r="N74" s="11" t="s">
        <v>45</v>
      </c>
      <c r="O74" s="10"/>
    </row>
    <row r="75" customFormat="false" ht="15" hidden="false" customHeight="false" outlineLevel="0" collapsed="false">
      <c r="A75" s="11" t="n">
        <v>74</v>
      </c>
      <c r="B75" s="10" t="s">
        <v>222</v>
      </c>
      <c r="C75" s="10" t="s">
        <v>223</v>
      </c>
      <c r="D75" s="10" t="s">
        <v>215</v>
      </c>
      <c r="E75" s="10" t="s">
        <v>13</v>
      </c>
      <c r="F75" s="11" t="s">
        <v>151</v>
      </c>
      <c r="G75" s="11" t="s">
        <v>48</v>
      </c>
      <c r="H75" s="11" t="n">
        <v>1</v>
      </c>
      <c r="I75" s="11" t="s">
        <v>59</v>
      </c>
      <c r="J75" s="10"/>
      <c r="K75" s="11" t="s">
        <v>55</v>
      </c>
      <c r="L75" s="11" t="s">
        <v>56</v>
      </c>
      <c r="M75" s="11"/>
      <c r="N75" s="11" t="s">
        <v>45</v>
      </c>
      <c r="O75" s="10"/>
    </row>
    <row r="76" customFormat="false" ht="15" hidden="false" customHeight="false" outlineLevel="0" collapsed="false">
      <c r="A76" s="11" t="n">
        <v>75</v>
      </c>
      <c r="B76" s="10" t="s">
        <v>224</v>
      </c>
      <c r="C76" s="10" t="s">
        <v>225</v>
      </c>
      <c r="D76" s="10" t="s">
        <v>215</v>
      </c>
      <c r="E76" s="10" t="s">
        <v>13</v>
      </c>
      <c r="F76" s="11" t="s">
        <v>151</v>
      </c>
      <c r="G76" s="11" t="s">
        <v>53</v>
      </c>
      <c r="H76" s="11" t="n">
        <v>1</v>
      </c>
      <c r="I76" s="11" t="s">
        <v>62</v>
      </c>
      <c r="J76" s="10"/>
      <c r="K76" s="11" t="s">
        <v>50</v>
      </c>
      <c r="L76" s="11" t="s">
        <v>44</v>
      </c>
      <c r="M76" s="11"/>
      <c r="N76" s="11" t="s">
        <v>45</v>
      </c>
      <c r="O76" s="10"/>
    </row>
    <row r="77" customFormat="false" ht="15" hidden="false" customHeight="false" outlineLevel="0" collapsed="false">
      <c r="A77" s="11" t="n">
        <v>76</v>
      </c>
      <c r="B77" s="10" t="s">
        <v>226</v>
      </c>
      <c r="C77" s="10" t="s">
        <v>227</v>
      </c>
      <c r="D77" s="10" t="s">
        <v>215</v>
      </c>
      <c r="E77" s="10" t="s">
        <v>13</v>
      </c>
      <c r="F77" s="11" t="s">
        <v>151</v>
      </c>
      <c r="G77" s="11" t="s">
        <v>41</v>
      </c>
      <c r="H77" s="11" t="n">
        <v>1</v>
      </c>
      <c r="I77" s="11" t="s">
        <v>42</v>
      </c>
      <c r="J77" s="10"/>
      <c r="K77" s="11" t="s">
        <v>43</v>
      </c>
      <c r="L77" s="11" t="s">
        <v>44</v>
      </c>
      <c r="M77" s="11"/>
      <c r="N77" s="11" t="s">
        <v>45</v>
      </c>
      <c r="O77" s="10"/>
    </row>
    <row r="78" customFormat="false" ht="15" hidden="false" customHeight="false" outlineLevel="0" collapsed="false">
      <c r="A78" s="11" t="n">
        <v>77</v>
      </c>
      <c r="B78" s="10" t="s">
        <v>228</v>
      </c>
      <c r="C78" s="10" t="s">
        <v>229</v>
      </c>
      <c r="D78" s="10" t="s">
        <v>230</v>
      </c>
      <c r="E78" s="10" t="s">
        <v>14</v>
      </c>
      <c r="F78" s="11" t="s">
        <v>231</v>
      </c>
      <c r="G78" s="11" t="s">
        <v>48</v>
      </c>
      <c r="H78" s="11" t="n">
        <v>3</v>
      </c>
      <c r="I78" s="11" t="s">
        <v>49</v>
      </c>
      <c r="J78" s="10"/>
      <c r="K78" s="11" t="s">
        <v>50</v>
      </c>
      <c r="L78" s="11" t="s">
        <v>44</v>
      </c>
      <c r="M78" s="11" t="s">
        <v>160</v>
      </c>
      <c r="N78" s="11" t="s">
        <v>45</v>
      </c>
      <c r="O78" s="10"/>
    </row>
    <row r="79" customFormat="false" ht="15" hidden="false" customHeight="false" outlineLevel="0" collapsed="false">
      <c r="A79" s="11" t="n">
        <v>78</v>
      </c>
      <c r="B79" s="10" t="s">
        <v>232</v>
      </c>
      <c r="C79" s="10" t="s">
        <v>233</v>
      </c>
      <c r="D79" s="10" t="s">
        <v>230</v>
      </c>
      <c r="E79" s="10" t="s">
        <v>14</v>
      </c>
      <c r="F79" s="11" t="s">
        <v>231</v>
      </c>
      <c r="G79" s="11" t="s">
        <v>53</v>
      </c>
      <c r="H79" s="11" t="n">
        <v>3</v>
      </c>
      <c r="I79" s="11" t="s">
        <v>54</v>
      </c>
      <c r="J79" s="10"/>
      <c r="K79" s="11" t="s">
        <v>55</v>
      </c>
      <c r="L79" s="11" t="s">
        <v>56</v>
      </c>
      <c r="M79" s="11" t="s">
        <v>160</v>
      </c>
      <c r="N79" s="11" t="s">
        <v>45</v>
      </c>
      <c r="O79" s="10"/>
    </row>
    <row r="80" customFormat="false" ht="15" hidden="false" customHeight="false" outlineLevel="0" collapsed="false">
      <c r="A80" s="11" t="n">
        <v>79</v>
      </c>
      <c r="B80" s="10" t="s">
        <v>234</v>
      </c>
      <c r="C80" s="10" t="s">
        <v>235</v>
      </c>
      <c r="D80" s="10" t="s">
        <v>230</v>
      </c>
      <c r="E80" s="10" t="s">
        <v>14</v>
      </c>
      <c r="F80" s="11" t="s">
        <v>231</v>
      </c>
      <c r="G80" s="11" t="s">
        <v>41</v>
      </c>
      <c r="H80" s="11" t="n">
        <v>3</v>
      </c>
      <c r="I80" s="11" t="s">
        <v>59</v>
      </c>
      <c r="J80" s="10"/>
      <c r="K80" s="11" t="s">
        <v>55</v>
      </c>
      <c r="L80" s="11" t="s">
        <v>56</v>
      </c>
      <c r="M80" s="11" t="s">
        <v>160</v>
      </c>
      <c r="N80" s="11" t="s">
        <v>68</v>
      </c>
      <c r="O80" s="10"/>
    </row>
    <row r="81" customFormat="false" ht="15" hidden="false" customHeight="false" outlineLevel="0" collapsed="false">
      <c r="A81" s="11" t="n">
        <v>80</v>
      </c>
      <c r="B81" s="10" t="s">
        <v>236</v>
      </c>
      <c r="C81" s="10" t="s">
        <v>237</v>
      </c>
      <c r="D81" s="10" t="s">
        <v>230</v>
      </c>
      <c r="E81" s="10" t="s">
        <v>14</v>
      </c>
      <c r="F81" s="11" t="s">
        <v>231</v>
      </c>
      <c r="G81" s="11" t="s">
        <v>48</v>
      </c>
      <c r="H81" s="11" t="n">
        <v>3</v>
      </c>
      <c r="I81" s="11" t="s">
        <v>62</v>
      </c>
      <c r="J81" s="10"/>
      <c r="K81" s="11" t="s">
        <v>50</v>
      </c>
      <c r="L81" s="11" t="s">
        <v>44</v>
      </c>
      <c r="M81" s="11" t="s">
        <v>160</v>
      </c>
      <c r="N81" s="11" t="s">
        <v>45</v>
      </c>
      <c r="O81" s="10"/>
    </row>
    <row r="82" customFormat="false" ht="15" hidden="false" customHeight="false" outlineLevel="0" collapsed="false">
      <c r="A82" s="11" t="n">
        <v>81</v>
      </c>
      <c r="B82" s="10" t="s">
        <v>238</v>
      </c>
      <c r="C82" s="10" t="s">
        <v>239</v>
      </c>
      <c r="D82" s="10" t="s">
        <v>230</v>
      </c>
      <c r="E82" s="10" t="s">
        <v>14</v>
      </c>
      <c r="F82" s="11" t="s">
        <v>231</v>
      </c>
      <c r="G82" s="11" t="s">
        <v>53</v>
      </c>
      <c r="H82" s="11" t="n">
        <v>3</v>
      </c>
      <c r="I82" s="11" t="s">
        <v>42</v>
      </c>
      <c r="J82" s="10"/>
      <c r="K82" s="11" t="s">
        <v>43</v>
      </c>
      <c r="L82" s="11" t="s">
        <v>44</v>
      </c>
      <c r="M82" s="11" t="s">
        <v>160</v>
      </c>
      <c r="N82" s="11" t="s">
        <v>45</v>
      </c>
      <c r="O82" s="10"/>
    </row>
    <row r="83" customFormat="false" ht="15" hidden="false" customHeight="false" outlineLevel="0" collapsed="false">
      <c r="A83" s="11" t="n">
        <v>82</v>
      </c>
      <c r="B83" s="10" t="s">
        <v>240</v>
      </c>
      <c r="C83" s="10" t="s">
        <v>241</v>
      </c>
      <c r="D83" s="10" t="s">
        <v>230</v>
      </c>
      <c r="E83" s="10" t="s">
        <v>14</v>
      </c>
      <c r="F83" s="11" t="s">
        <v>231</v>
      </c>
      <c r="G83" s="11" t="s">
        <v>41</v>
      </c>
      <c r="H83" s="11" t="n">
        <v>3</v>
      </c>
      <c r="I83" s="11" t="s">
        <v>49</v>
      </c>
      <c r="J83" s="10"/>
      <c r="K83" s="11" t="s">
        <v>50</v>
      </c>
      <c r="L83" s="11" t="s">
        <v>44</v>
      </c>
      <c r="M83" s="11" t="s">
        <v>160</v>
      </c>
      <c r="N83" s="11" t="s">
        <v>45</v>
      </c>
      <c r="O83" s="10"/>
    </row>
    <row r="84" customFormat="false" ht="15" hidden="false" customHeight="false" outlineLevel="0" collapsed="false">
      <c r="A84" s="11" t="n">
        <v>83</v>
      </c>
      <c r="B84" s="10" t="s">
        <v>242</v>
      </c>
      <c r="C84" s="10" t="s">
        <v>243</v>
      </c>
      <c r="D84" s="10" t="s">
        <v>230</v>
      </c>
      <c r="E84" s="10" t="s">
        <v>14</v>
      </c>
      <c r="F84" s="11" t="s">
        <v>231</v>
      </c>
      <c r="G84" s="11" t="s">
        <v>48</v>
      </c>
      <c r="H84" s="11" t="n">
        <v>3</v>
      </c>
      <c r="I84" s="11" t="s">
        <v>54</v>
      </c>
      <c r="J84" s="10"/>
      <c r="K84" s="11" t="s">
        <v>55</v>
      </c>
      <c r="L84" s="11" t="s">
        <v>56</v>
      </c>
      <c r="M84" s="11" t="s">
        <v>160</v>
      </c>
      <c r="N84" s="11" t="s">
        <v>68</v>
      </c>
      <c r="O84" s="10"/>
    </row>
    <row r="85" customFormat="false" ht="15" hidden="false" customHeight="false" outlineLevel="0" collapsed="false">
      <c r="A85" s="11" t="n">
        <v>84</v>
      </c>
      <c r="B85" s="10" t="s">
        <v>244</v>
      </c>
      <c r="C85" s="10" t="s">
        <v>245</v>
      </c>
      <c r="D85" s="10" t="s">
        <v>230</v>
      </c>
      <c r="E85" s="10" t="s">
        <v>14</v>
      </c>
      <c r="F85" s="11" t="s">
        <v>231</v>
      </c>
      <c r="G85" s="11" t="s">
        <v>53</v>
      </c>
      <c r="H85" s="11" t="n">
        <v>3</v>
      </c>
      <c r="I85" s="11" t="s">
        <v>59</v>
      </c>
      <c r="J85" s="10"/>
      <c r="K85" s="11" t="s">
        <v>55</v>
      </c>
      <c r="L85" s="11" t="s">
        <v>56</v>
      </c>
      <c r="M85" s="11" t="s">
        <v>160</v>
      </c>
      <c r="N85" s="11" t="s">
        <v>45</v>
      </c>
      <c r="O85" s="10"/>
    </row>
    <row r="86" customFormat="false" ht="15" hidden="false" customHeight="false" outlineLevel="0" collapsed="false">
      <c r="A86" s="11" t="n">
        <v>85</v>
      </c>
      <c r="B86" s="10" t="s">
        <v>246</v>
      </c>
      <c r="C86" s="10" t="s">
        <v>247</v>
      </c>
      <c r="D86" s="10" t="s">
        <v>230</v>
      </c>
      <c r="E86" s="10" t="s">
        <v>14</v>
      </c>
      <c r="F86" s="11" t="s">
        <v>231</v>
      </c>
      <c r="G86" s="11" t="s">
        <v>41</v>
      </c>
      <c r="H86" s="11" t="n">
        <v>3</v>
      </c>
      <c r="I86" s="11" t="s">
        <v>62</v>
      </c>
      <c r="J86" s="10"/>
      <c r="K86" s="11" t="s">
        <v>50</v>
      </c>
      <c r="L86" s="11" t="s">
        <v>44</v>
      </c>
      <c r="M86" s="11" t="s">
        <v>160</v>
      </c>
      <c r="N86" s="11" t="s">
        <v>45</v>
      </c>
      <c r="O86" s="10"/>
    </row>
    <row r="87" customFormat="false" ht="15" hidden="false" customHeight="false" outlineLevel="0" collapsed="false">
      <c r="A87" s="11" t="n">
        <v>86</v>
      </c>
      <c r="B87" s="10" t="s">
        <v>248</v>
      </c>
      <c r="C87" s="10" t="s">
        <v>249</v>
      </c>
      <c r="D87" s="10" t="s">
        <v>230</v>
      </c>
      <c r="E87" s="10" t="s">
        <v>14</v>
      </c>
      <c r="F87" s="11" t="s">
        <v>231</v>
      </c>
      <c r="G87" s="11" t="s">
        <v>48</v>
      </c>
      <c r="H87" s="11" t="n">
        <v>3</v>
      </c>
      <c r="I87" s="11" t="s">
        <v>42</v>
      </c>
      <c r="J87" s="10"/>
      <c r="K87" s="11" t="s">
        <v>43</v>
      </c>
      <c r="L87" s="11" t="s">
        <v>44</v>
      </c>
      <c r="M87" s="11" t="s">
        <v>160</v>
      </c>
      <c r="N87" s="11" t="s">
        <v>45</v>
      </c>
      <c r="O87" s="10"/>
    </row>
    <row r="88" customFormat="false" ht="15" hidden="false" customHeight="false" outlineLevel="0" collapsed="false">
      <c r="A88" s="11" t="n">
        <v>87</v>
      </c>
      <c r="B88" s="10" t="s">
        <v>250</v>
      </c>
      <c r="C88" s="10" t="s">
        <v>251</v>
      </c>
      <c r="D88" s="10" t="s">
        <v>252</v>
      </c>
      <c r="E88" s="10" t="s">
        <v>14</v>
      </c>
      <c r="F88" s="11" t="s">
        <v>151</v>
      </c>
      <c r="G88" s="11" t="s">
        <v>53</v>
      </c>
      <c r="H88" s="11" t="n">
        <v>1</v>
      </c>
      <c r="I88" s="11" t="s">
        <v>49</v>
      </c>
      <c r="J88" s="10"/>
      <c r="K88" s="11" t="s">
        <v>50</v>
      </c>
      <c r="L88" s="11" t="s">
        <v>44</v>
      </c>
      <c r="M88" s="11"/>
      <c r="N88" s="11" t="s">
        <v>130</v>
      </c>
      <c r="O88" s="10"/>
    </row>
    <row r="89" customFormat="false" ht="23.85" hidden="false" customHeight="false" outlineLevel="0" collapsed="false">
      <c r="A89" s="11" t="n">
        <v>88</v>
      </c>
      <c r="B89" s="10" t="s">
        <v>253</v>
      </c>
      <c r="C89" s="10" t="s">
        <v>254</v>
      </c>
      <c r="D89" s="10" t="s">
        <v>252</v>
      </c>
      <c r="E89" s="10" t="s">
        <v>14</v>
      </c>
      <c r="F89" s="11" t="s">
        <v>151</v>
      </c>
      <c r="G89" s="11" t="s">
        <v>41</v>
      </c>
      <c r="H89" s="11" t="n">
        <v>1</v>
      </c>
      <c r="I89" s="11" t="s">
        <v>54</v>
      </c>
      <c r="J89" s="10"/>
      <c r="K89" s="11" t="s">
        <v>55</v>
      </c>
      <c r="L89" s="11" t="s">
        <v>56</v>
      </c>
      <c r="M89" s="11"/>
      <c r="N89" s="11" t="s">
        <v>45</v>
      </c>
      <c r="O89" s="10"/>
    </row>
    <row r="90" customFormat="false" ht="15" hidden="false" customHeight="false" outlineLevel="0" collapsed="false">
      <c r="A90" s="11" t="n">
        <v>89</v>
      </c>
      <c r="B90" s="10" t="s">
        <v>255</v>
      </c>
      <c r="C90" s="10" t="s">
        <v>256</v>
      </c>
      <c r="D90" s="10" t="s">
        <v>252</v>
      </c>
      <c r="E90" s="10" t="s">
        <v>14</v>
      </c>
      <c r="F90" s="11" t="s">
        <v>151</v>
      </c>
      <c r="G90" s="11" t="s">
        <v>48</v>
      </c>
      <c r="H90" s="11" t="n">
        <v>1</v>
      </c>
      <c r="I90" s="11" t="s">
        <v>59</v>
      </c>
      <c r="J90" s="10"/>
      <c r="K90" s="11" t="s">
        <v>55</v>
      </c>
      <c r="L90" s="11" t="s">
        <v>56</v>
      </c>
      <c r="M90" s="11"/>
      <c r="N90" s="11" t="s">
        <v>45</v>
      </c>
      <c r="O90" s="10"/>
    </row>
    <row r="91" customFormat="false" ht="15" hidden="false" customHeight="false" outlineLevel="0" collapsed="false">
      <c r="A91" s="11" t="n">
        <v>90</v>
      </c>
      <c r="B91" s="10" t="s">
        <v>257</v>
      </c>
      <c r="C91" s="10" t="s">
        <v>258</v>
      </c>
      <c r="D91" s="10" t="s">
        <v>252</v>
      </c>
      <c r="E91" s="10" t="s">
        <v>14</v>
      </c>
      <c r="F91" s="11" t="s">
        <v>151</v>
      </c>
      <c r="G91" s="11" t="s">
        <v>53</v>
      </c>
      <c r="H91" s="11" t="n">
        <v>1</v>
      </c>
      <c r="I91" s="11" t="s">
        <v>62</v>
      </c>
      <c r="J91" s="10"/>
      <c r="K91" s="11" t="s">
        <v>50</v>
      </c>
      <c r="L91" s="11" t="s">
        <v>44</v>
      </c>
      <c r="M91" s="11"/>
      <c r="N91" s="11" t="s">
        <v>45</v>
      </c>
      <c r="O91" s="10"/>
    </row>
    <row r="92" customFormat="false" ht="15" hidden="false" customHeight="false" outlineLevel="0" collapsed="false">
      <c r="A92" s="11" t="n">
        <v>91</v>
      </c>
      <c r="B92" s="10" t="s">
        <v>259</v>
      </c>
      <c r="C92" s="10" t="s">
        <v>260</v>
      </c>
      <c r="D92" s="10" t="s">
        <v>252</v>
      </c>
      <c r="E92" s="10" t="s">
        <v>14</v>
      </c>
      <c r="F92" s="11" t="s">
        <v>151</v>
      </c>
      <c r="G92" s="11" t="s">
        <v>41</v>
      </c>
      <c r="H92" s="11" t="n">
        <v>1</v>
      </c>
      <c r="I92" s="11" t="s">
        <v>42</v>
      </c>
      <c r="J92" s="10"/>
      <c r="K92" s="11" t="s">
        <v>43</v>
      </c>
      <c r="L92" s="11" t="s">
        <v>44</v>
      </c>
      <c r="M92" s="11"/>
      <c r="N92" s="11" t="s">
        <v>68</v>
      </c>
      <c r="O92" s="10"/>
    </row>
    <row r="93" customFormat="false" ht="15" hidden="false" customHeight="false" outlineLevel="0" collapsed="false">
      <c r="A93" s="11" t="n">
        <v>92</v>
      </c>
      <c r="B93" s="10" t="s">
        <v>261</v>
      </c>
      <c r="C93" s="10" t="s">
        <v>262</v>
      </c>
      <c r="D93" s="10" t="s">
        <v>252</v>
      </c>
      <c r="E93" s="10" t="s">
        <v>14</v>
      </c>
      <c r="F93" s="11" t="s">
        <v>151</v>
      </c>
      <c r="G93" s="11" t="s">
        <v>48</v>
      </c>
      <c r="H93" s="11" t="n">
        <v>1</v>
      </c>
      <c r="I93" s="11" t="s">
        <v>49</v>
      </c>
      <c r="J93" s="10"/>
      <c r="K93" s="11" t="s">
        <v>50</v>
      </c>
      <c r="L93" s="11" t="s">
        <v>44</v>
      </c>
      <c r="M93" s="11"/>
      <c r="N93" s="11" t="s">
        <v>68</v>
      </c>
      <c r="O93" s="10"/>
    </row>
    <row r="94" customFormat="false" ht="15" hidden="false" customHeight="false" outlineLevel="0" collapsed="false">
      <c r="A94" s="11" t="n">
        <v>93</v>
      </c>
      <c r="B94" s="10" t="s">
        <v>263</v>
      </c>
      <c r="C94" s="10" t="s">
        <v>264</v>
      </c>
      <c r="D94" s="10" t="s">
        <v>265</v>
      </c>
      <c r="E94" s="10" t="s">
        <v>14</v>
      </c>
      <c r="F94" s="11" t="s">
        <v>266</v>
      </c>
      <c r="G94" s="11" t="s">
        <v>53</v>
      </c>
      <c r="H94" s="11" t="n">
        <v>1</v>
      </c>
      <c r="I94" s="11" t="s">
        <v>54</v>
      </c>
      <c r="J94" s="10"/>
      <c r="K94" s="11" t="s">
        <v>55</v>
      </c>
      <c r="L94" s="11" t="s">
        <v>56</v>
      </c>
      <c r="M94" s="11"/>
      <c r="N94" s="11" t="s">
        <v>45</v>
      </c>
      <c r="O94" s="10"/>
    </row>
    <row r="95" customFormat="false" ht="23.85" hidden="false" customHeight="false" outlineLevel="0" collapsed="false">
      <c r="A95" s="11" t="n">
        <v>94</v>
      </c>
      <c r="B95" s="10" t="s">
        <v>267</v>
      </c>
      <c r="C95" s="10" t="s">
        <v>268</v>
      </c>
      <c r="D95" s="10" t="s">
        <v>265</v>
      </c>
      <c r="E95" s="10" t="s">
        <v>14</v>
      </c>
      <c r="F95" s="11" t="s">
        <v>266</v>
      </c>
      <c r="G95" s="11" t="s">
        <v>41</v>
      </c>
      <c r="H95" s="11" t="n">
        <v>1</v>
      </c>
      <c r="I95" s="11" t="s">
        <v>59</v>
      </c>
      <c r="J95" s="10"/>
      <c r="K95" s="11" t="s">
        <v>55</v>
      </c>
      <c r="L95" s="11" t="s">
        <v>56</v>
      </c>
      <c r="M95" s="11"/>
      <c r="N95" s="11" t="s">
        <v>45</v>
      </c>
      <c r="O95" s="10"/>
    </row>
    <row r="96" customFormat="false" ht="15" hidden="false" customHeight="false" outlineLevel="0" collapsed="false">
      <c r="A96" s="11" t="n">
        <v>95</v>
      </c>
      <c r="B96" s="10" t="s">
        <v>269</v>
      </c>
      <c r="C96" s="10" t="s">
        <v>270</v>
      </c>
      <c r="D96" s="10" t="s">
        <v>265</v>
      </c>
      <c r="E96" s="10" t="s">
        <v>14</v>
      </c>
      <c r="F96" s="11" t="s">
        <v>266</v>
      </c>
      <c r="G96" s="11" t="s">
        <v>48</v>
      </c>
      <c r="H96" s="11" t="n">
        <v>1</v>
      </c>
      <c r="I96" s="11" t="s">
        <v>62</v>
      </c>
      <c r="J96" s="10"/>
      <c r="K96" s="11" t="s">
        <v>50</v>
      </c>
      <c r="L96" s="11" t="s">
        <v>44</v>
      </c>
      <c r="M96" s="11"/>
      <c r="N96" s="11" t="s">
        <v>45</v>
      </c>
      <c r="O96" s="10"/>
    </row>
    <row r="97" customFormat="false" ht="15" hidden="false" customHeight="false" outlineLevel="0" collapsed="false">
      <c r="A97" s="11" t="n">
        <v>96</v>
      </c>
      <c r="B97" s="10" t="s">
        <v>271</v>
      </c>
      <c r="C97" s="10" t="s">
        <v>272</v>
      </c>
      <c r="D97" s="10" t="s">
        <v>265</v>
      </c>
      <c r="E97" s="10" t="s">
        <v>14</v>
      </c>
      <c r="F97" s="11" t="s">
        <v>266</v>
      </c>
      <c r="G97" s="11" t="s">
        <v>53</v>
      </c>
      <c r="H97" s="11" t="n">
        <v>1</v>
      </c>
      <c r="I97" s="11" t="s">
        <v>42</v>
      </c>
      <c r="J97" s="10"/>
      <c r="K97" s="11" t="s">
        <v>43</v>
      </c>
      <c r="L97" s="11" t="s">
        <v>44</v>
      </c>
      <c r="M97" s="11"/>
      <c r="N97" s="11" t="s">
        <v>45</v>
      </c>
      <c r="O97" s="10"/>
    </row>
    <row r="98" customFormat="false" ht="15" hidden="false" customHeight="false" outlineLevel="0" collapsed="false">
      <c r="A98" s="11" t="n">
        <v>97</v>
      </c>
      <c r="B98" s="10" t="s">
        <v>273</v>
      </c>
      <c r="C98" s="10" t="s">
        <v>274</v>
      </c>
      <c r="D98" s="10" t="s">
        <v>275</v>
      </c>
      <c r="E98" s="10" t="s">
        <v>14</v>
      </c>
      <c r="F98" s="11" t="s">
        <v>276</v>
      </c>
      <c r="G98" s="11" t="s">
        <v>41</v>
      </c>
      <c r="H98" s="11" t="n">
        <v>1</v>
      </c>
      <c r="I98" s="11" t="s">
        <v>49</v>
      </c>
      <c r="J98" s="10"/>
      <c r="K98" s="11" t="s">
        <v>50</v>
      </c>
      <c r="L98" s="11" t="s">
        <v>44</v>
      </c>
      <c r="M98" s="11"/>
      <c r="N98" s="11" t="s">
        <v>130</v>
      </c>
      <c r="O98" s="10"/>
    </row>
    <row r="99" customFormat="false" ht="15" hidden="false" customHeight="false" outlineLevel="0" collapsed="false">
      <c r="A99" s="11" t="n">
        <v>98</v>
      </c>
      <c r="B99" s="10" t="s">
        <v>277</v>
      </c>
      <c r="C99" s="10" t="s">
        <v>278</v>
      </c>
      <c r="D99" s="10" t="s">
        <v>275</v>
      </c>
      <c r="E99" s="10" t="s">
        <v>14</v>
      </c>
      <c r="F99" s="11" t="s">
        <v>276</v>
      </c>
      <c r="G99" s="11" t="s">
        <v>48</v>
      </c>
      <c r="H99" s="11" t="n">
        <v>1</v>
      </c>
      <c r="I99" s="11" t="s">
        <v>54</v>
      </c>
      <c r="J99" s="10"/>
      <c r="K99" s="11" t="s">
        <v>55</v>
      </c>
      <c r="L99" s="11" t="s">
        <v>56</v>
      </c>
      <c r="M99" s="11"/>
      <c r="N99" s="11" t="s">
        <v>45</v>
      </c>
      <c r="O99" s="10"/>
    </row>
    <row r="100" customFormat="false" ht="15" hidden="false" customHeight="false" outlineLevel="0" collapsed="false">
      <c r="A100" s="11" t="n">
        <v>99</v>
      </c>
      <c r="B100" s="10" t="s">
        <v>279</v>
      </c>
      <c r="C100" s="10" t="s">
        <v>280</v>
      </c>
      <c r="D100" s="10" t="s">
        <v>275</v>
      </c>
      <c r="E100" s="10" t="s">
        <v>14</v>
      </c>
      <c r="F100" s="11" t="s">
        <v>276</v>
      </c>
      <c r="G100" s="11" t="s">
        <v>53</v>
      </c>
      <c r="H100" s="11" t="n">
        <v>1</v>
      </c>
      <c r="I100" s="11" t="s">
        <v>59</v>
      </c>
      <c r="J100" s="10"/>
      <c r="K100" s="11" t="s">
        <v>55</v>
      </c>
      <c r="L100" s="11" t="s">
        <v>56</v>
      </c>
      <c r="M100" s="11"/>
      <c r="N100" s="11" t="s">
        <v>45</v>
      </c>
      <c r="O100" s="10"/>
    </row>
    <row r="101" customFormat="false" ht="15" hidden="false" customHeight="false" outlineLevel="0" collapsed="false">
      <c r="A101" s="11" t="n">
        <v>100</v>
      </c>
      <c r="B101" s="10" t="s">
        <v>281</v>
      </c>
      <c r="C101" s="10" t="s">
        <v>282</v>
      </c>
      <c r="D101" s="10" t="s">
        <v>283</v>
      </c>
      <c r="E101" s="10" t="s">
        <v>14</v>
      </c>
      <c r="F101" s="11" t="s">
        <v>284</v>
      </c>
      <c r="G101" s="11" t="s">
        <v>41</v>
      </c>
      <c r="H101" s="11" t="n">
        <v>1</v>
      </c>
      <c r="I101" s="11" t="s">
        <v>62</v>
      </c>
      <c r="J101" s="10"/>
      <c r="K101" s="11" t="s">
        <v>50</v>
      </c>
      <c r="L101" s="11" t="s">
        <v>44</v>
      </c>
      <c r="M101" s="11"/>
      <c r="N101" s="11" t="s">
        <v>45</v>
      </c>
      <c r="O101" s="10"/>
    </row>
    <row r="102" customFormat="false" ht="23.85" hidden="false" customHeight="false" outlineLevel="0" collapsed="false">
      <c r="A102" s="11" t="n">
        <v>101</v>
      </c>
      <c r="B102" s="10" t="s">
        <v>285</v>
      </c>
      <c r="C102" s="10" t="s">
        <v>286</v>
      </c>
      <c r="D102" s="10" t="s">
        <v>283</v>
      </c>
      <c r="E102" s="10" t="s">
        <v>14</v>
      </c>
      <c r="F102" s="11" t="s">
        <v>284</v>
      </c>
      <c r="G102" s="11" t="s">
        <v>48</v>
      </c>
      <c r="H102" s="11" t="n">
        <v>1</v>
      </c>
      <c r="I102" s="11" t="s">
        <v>42</v>
      </c>
      <c r="J102" s="10"/>
      <c r="K102" s="11" t="s">
        <v>43</v>
      </c>
      <c r="L102" s="11" t="s">
        <v>44</v>
      </c>
      <c r="M102" s="11"/>
      <c r="N102" s="11" t="s">
        <v>45</v>
      </c>
      <c r="O102" s="10"/>
    </row>
    <row r="103" customFormat="false" ht="15" hidden="false" customHeight="false" outlineLevel="0" collapsed="false">
      <c r="A103" s="11" t="n">
        <v>102</v>
      </c>
      <c r="B103" s="10" t="s">
        <v>287</v>
      </c>
      <c r="C103" s="10" t="s">
        <v>288</v>
      </c>
      <c r="D103" s="10" t="s">
        <v>283</v>
      </c>
      <c r="E103" s="10" t="s">
        <v>14</v>
      </c>
      <c r="F103" s="11" t="s">
        <v>284</v>
      </c>
      <c r="G103" s="11" t="s">
        <v>53</v>
      </c>
      <c r="H103" s="11" t="n">
        <v>1</v>
      </c>
      <c r="I103" s="11" t="s">
        <v>49</v>
      </c>
      <c r="J103" s="10"/>
      <c r="K103" s="11" t="s">
        <v>50</v>
      </c>
      <c r="L103" s="11" t="s">
        <v>44</v>
      </c>
      <c r="M103" s="11"/>
      <c r="N103" s="11" t="s">
        <v>45</v>
      </c>
      <c r="O103" s="10"/>
    </row>
    <row r="104" customFormat="false" ht="15" hidden="false" customHeight="false" outlineLevel="0" collapsed="false">
      <c r="A104" s="11" t="n">
        <v>103</v>
      </c>
      <c r="B104" s="10" t="s">
        <v>289</v>
      </c>
      <c r="C104" s="10" t="s">
        <v>290</v>
      </c>
      <c r="D104" s="10" t="s">
        <v>283</v>
      </c>
      <c r="E104" s="10" t="s">
        <v>14</v>
      </c>
      <c r="F104" s="11" t="s">
        <v>284</v>
      </c>
      <c r="G104" s="11" t="s">
        <v>41</v>
      </c>
      <c r="H104" s="11" t="n">
        <v>1</v>
      </c>
      <c r="I104" s="11" t="s">
        <v>54</v>
      </c>
      <c r="J104" s="10"/>
      <c r="K104" s="11" t="s">
        <v>55</v>
      </c>
      <c r="L104" s="11" t="s">
        <v>56</v>
      </c>
      <c r="M104" s="11"/>
      <c r="N104" s="11" t="s">
        <v>45</v>
      </c>
      <c r="O104" s="10"/>
    </row>
    <row r="105" customFormat="false" ht="15" hidden="false" customHeight="false" outlineLevel="0" collapsed="false">
      <c r="A105" s="11" t="n">
        <v>104</v>
      </c>
      <c r="B105" s="10" t="s">
        <v>291</v>
      </c>
      <c r="C105" s="10" t="s">
        <v>292</v>
      </c>
      <c r="D105" s="10" t="s">
        <v>293</v>
      </c>
      <c r="E105" s="10" t="s">
        <v>14</v>
      </c>
      <c r="F105" s="11" t="s">
        <v>294</v>
      </c>
      <c r="G105" s="11" t="s">
        <v>48</v>
      </c>
      <c r="H105" s="11" t="n">
        <v>1</v>
      </c>
      <c r="I105" s="11" t="s">
        <v>59</v>
      </c>
      <c r="J105" s="10"/>
      <c r="K105" s="11" t="s">
        <v>55</v>
      </c>
      <c r="L105" s="11" t="s">
        <v>56</v>
      </c>
      <c r="M105" s="11"/>
      <c r="N105" s="11" t="s">
        <v>45</v>
      </c>
      <c r="O105" s="10"/>
    </row>
    <row r="106" customFormat="false" ht="15" hidden="false" customHeight="false" outlineLevel="0" collapsed="false">
      <c r="A106" s="11" t="n">
        <v>105</v>
      </c>
      <c r="B106" s="10" t="s">
        <v>295</v>
      </c>
      <c r="C106" s="10" t="s">
        <v>296</v>
      </c>
      <c r="D106" s="10" t="s">
        <v>293</v>
      </c>
      <c r="E106" s="10" t="s">
        <v>14</v>
      </c>
      <c r="F106" s="11" t="s">
        <v>294</v>
      </c>
      <c r="G106" s="11" t="s">
        <v>53</v>
      </c>
      <c r="H106" s="11" t="n">
        <v>1</v>
      </c>
      <c r="I106" s="11" t="s">
        <v>62</v>
      </c>
      <c r="J106" s="10"/>
      <c r="K106" s="11" t="s">
        <v>50</v>
      </c>
      <c r="L106" s="11" t="s">
        <v>44</v>
      </c>
      <c r="M106" s="11"/>
      <c r="N106" s="11" t="s">
        <v>45</v>
      </c>
      <c r="O106" s="10"/>
    </row>
    <row r="107" customFormat="false" ht="15" hidden="false" customHeight="false" outlineLevel="0" collapsed="false">
      <c r="A107" s="11" t="n">
        <v>106</v>
      </c>
      <c r="B107" s="10" t="s">
        <v>297</v>
      </c>
      <c r="C107" s="10" t="s">
        <v>298</v>
      </c>
      <c r="D107" s="10" t="s">
        <v>293</v>
      </c>
      <c r="E107" s="10" t="s">
        <v>14</v>
      </c>
      <c r="F107" s="11" t="s">
        <v>294</v>
      </c>
      <c r="G107" s="11" t="s">
        <v>41</v>
      </c>
      <c r="H107" s="11" t="n">
        <v>1</v>
      </c>
      <c r="I107" s="11" t="s">
        <v>42</v>
      </c>
      <c r="J107" s="10"/>
      <c r="K107" s="11" t="s">
        <v>43</v>
      </c>
      <c r="L107" s="11" t="s">
        <v>44</v>
      </c>
      <c r="M107" s="11"/>
      <c r="N107" s="11" t="s">
        <v>45</v>
      </c>
      <c r="O107" s="10"/>
    </row>
    <row r="108" customFormat="false" ht="15" hidden="false" customHeight="false" outlineLevel="0" collapsed="false">
      <c r="A108" s="11" t="n">
        <v>107</v>
      </c>
      <c r="B108" s="10" t="s">
        <v>299</v>
      </c>
      <c r="C108" s="10" t="s">
        <v>300</v>
      </c>
      <c r="D108" s="10" t="s">
        <v>293</v>
      </c>
      <c r="E108" s="10" t="s">
        <v>14</v>
      </c>
      <c r="F108" s="11" t="s">
        <v>294</v>
      </c>
      <c r="G108" s="11" t="s">
        <v>48</v>
      </c>
      <c r="H108" s="11" t="n">
        <v>1</v>
      </c>
      <c r="I108" s="11" t="s">
        <v>49</v>
      </c>
      <c r="J108" s="10"/>
      <c r="K108" s="11" t="s">
        <v>50</v>
      </c>
      <c r="L108" s="11" t="s">
        <v>44</v>
      </c>
      <c r="M108" s="11"/>
      <c r="N108" s="11" t="s">
        <v>45</v>
      </c>
      <c r="O108" s="10"/>
    </row>
    <row r="109" customFormat="false" ht="15" hidden="false" customHeight="false" outlineLevel="0" collapsed="false">
      <c r="A109" s="11" t="n">
        <v>108</v>
      </c>
      <c r="B109" s="10" t="s">
        <v>301</v>
      </c>
      <c r="C109" s="10" t="s">
        <v>302</v>
      </c>
      <c r="D109" s="10" t="s">
        <v>303</v>
      </c>
      <c r="E109" s="10" t="s">
        <v>14</v>
      </c>
      <c r="F109" s="11" t="s">
        <v>304</v>
      </c>
      <c r="G109" s="11" t="s">
        <v>53</v>
      </c>
      <c r="H109" s="11" t="n">
        <v>1</v>
      </c>
      <c r="I109" s="11" t="s">
        <v>54</v>
      </c>
      <c r="J109" s="10"/>
      <c r="K109" s="11" t="s">
        <v>55</v>
      </c>
      <c r="L109" s="11" t="s">
        <v>56</v>
      </c>
      <c r="M109" s="11"/>
      <c r="N109" s="11" t="s">
        <v>45</v>
      </c>
      <c r="O109" s="10"/>
    </row>
    <row r="110" customFormat="false" ht="15" hidden="false" customHeight="false" outlineLevel="0" collapsed="false">
      <c r="A110" s="11" t="n">
        <v>109</v>
      </c>
      <c r="B110" s="10" t="s">
        <v>305</v>
      </c>
      <c r="C110" s="10" t="s">
        <v>306</v>
      </c>
      <c r="D110" s="10" t="s">
        <v>303</v>
      </c>
      <c r="E110" s="10" t="s">
        <v>14</v>
      </c>
      <c r="F110" s="11" t="s">
        <v>304</v>
      </c>
      <c r="G110" s="11" t="s">
        <v>41</v>
      </c>
      <c r="H110" s="11" t="n">
        <v>1</v>
      </c>
      <c r="I110" s="11" t="s">
        <v>59</v>
      </c>
      <c r="J110" s="10"/>
      <c r="K110" s="11" t="s">
        <v>55</v>
      </c>
      <c r="L110" s="11" t="s">
        <v>56</v>
      </c>
      <c r="M110" s="11"/>
      <c r="N110" s="11" t="s">
        <v>45</v>
      </c>
      <c r="O110" s="10"/>
    </row>
    <row r="111" customFormat="false" ht="15" hidden="false" customHeight="false" outlineLevel="0" collapsed="false">
      <c r="A111" s="11" t="n">
        <v>110</v>
      </c>
      <c r="B111" s="10" t="s">
        <v>307</v>
      </c>
      <c r="C111" s="10" t="s">
        <v>308</v>
      </c>
      <c r="D111" s="10" t="s">
        <v>303</v>
      </c>
      <c r="E111" s="10" t="s">
        <v>14</v>
      </c>
      <c r="F111" s="11" t="s">
        <v>304</v>
      </c>
      <c r="G111" s="11" t="s">
        <v>48</v>
      </c>
      <c r="H111" s="11" t="n">
        <v>1</v>
      </c>
      <c r="I111" s="11" t="s">
        <v>62</v>
      </c>
      <c r="J111" s="10"/>
      <c r="K111" s="11" t="s">
        <v>50</v>
      </c>
      <c r="L111" s="11" t="s">
        <v>44</v>
      </c>
      <c r="M111" s="11"/>
      <c r="N111" s="11" t="s">
        <v>45</v>
      </c>
      <c r="O111" s="10"/>
    </row>
    <row r="112" customFormat="false" ht="15" hidden="false" customHeight="false" outlineLevel="0" collapsed="false">
      <c r="A112" s="11" t="n">
        <v>111</v>
      </c>
      <c r="B112" s="10" t="s">
        <v>309</v>
      </c>
      <c r="C112" s="10" t="s">
        <v>310</v>
      </c>
      <c r="D112" s="10" t="s">
        <v>303</v>
      </c>
      <c r="E112" s="10" t="s">
        <v>14</v>
      </c>
      <c r="F112" s="11" t="s">
        <v>304</v>
      </c>
      <c r="G112" s="11" t="s">
        <v>53</v>
      </c>
      <c r="H112" s="11" t="n">
        <v>1</v>
      </c>
      <c r="I112" s="11" t="s">
        <v>42</v>
      </c>
      <c r="J112" s="10"/>
      <c r="K112" s="11" t="s">
        <v>43</v>
      </c>
      <c r="L112" s="11" t="s">
        <v>44</v>
      </c>
      <c r="M112" s="11"/>
      <c r="N112" s="11" t="s">
        <v>45</v>
      </c>
      <c r="O112" s="10"/>
    </row>
    <row r="113" customFormat="false" ht="15" hidden="false" customHeight="false" outlineLevel="0" collapsed="false">
      <c r="A113" s="11" t="n">
        <v>112</v>
      </c>
      <c r="B113" s="10" t="s">
        <v>311</v>
      </c>
      <c r="C113" s="10" t="s">
        <v>312</v>
      </c>
      <c r="D113" s="10" t="s">
        <v>303</v>
      </c>
      <c r="E113" s="10" t="s">
        <v>14</v>
      </c>
      <c r="F113" s="11" t="s">
        <v>304</v>
      </c>
      <c r="G113" s="11" t="s">
        <v>41</v>
      </c>
      <c r="H113" s="11" t="n">
        <v>1</v>
      </c>
      <c r="I113" s="11" t="s">
        <v>49</v>
      </c>
      <c r="J113" s="10"/>
      <c r="K113" s="11" t="s">
        <v>50</v>
      </c>
      <c r="L113" s="11" t="s">
        <v>44</v>
      </c>
      <c r="M113" s="11"/>
      <c r="N113" s="11" t="s">
        <v>45</v>
      </c>
      <c r="O113" s="10"/>
    </row>
    <row r="114" customFormat="false" ht="15" hidden="false" customHeight="false" outlineLevel="0" collapsed="false">
      <c r="A114" s="11" t="n">
        <v>113</v>
      </c>
      <c r="B114" s="10" t="s">
        <v>313</v>
      </c>
      <c r="C114" s="10" t="s">
        <v>314</v>
      </c>
      <c r="D114" s="10" t="s">
        <v>315</v>
      </c>
      <c r="E114" s="10" t="s">
        <v>14</v>
      </c>
      <c r="F114" s="11" t="s">
        <v>276</v>
      </c>
      <c r="G114" s="11" t="s">
        <v>48</v>
      </c>
      <c r="H114" s="11" t="n">
        <v>1</v>
      </c>
      <c r="I114" s="11" t="s">
        <v>54</v>
      </c>
      <c r="J114" s="10"/>
      <c r="K114" s="11" t="s">
        <v>55</v>
      </c>
      <c r="L114" s="11" t="s">
        <v>56</v>
      </c>
      <c r="M114" s="11"/>
      <c r="N114" s="11" t="s">
        <v>45</v>
      </c>
      <c r="O114" s="10"/>
    </row>
    <row r="115" customFormat="false" ht="15" hidden="false" customHeight="false" outlineLevel="0" collapsed="false">
      <c r="A115" s="11" t="n">
        <v>114</v>
      </c>
      <c r="B115" s="10" t="s">
        <v>316</v>
      </c>
      <c r="C115" s="10" t="s">
        <v>317</v>
      </c>
      <c r="D115" s="10" t="s">
        <v>315</v>
      </c>
      <c r="E115" s="10" t="s">
        <v>14</v>
      </c>
      <c r="F115" s="11" t="s">
        <v>276</v>
      </c>
      <c r="G115" s="11" t="s">
        <v>53</v>
      </c>
      <c r="H115" s="11" t="n">
        <v>1</v>
      </c>
      <c r="I115" s="11" t="s">
        <v>59</v>
      </c>
      <c r="J115" s="10"/>
      <c r="K115" s="11" t="s">
        <v>55</v>
      </c>
      <c r="L115" s="11" t="s">
        <v>56</v>
      </c>
      <c r="M115" s="11"/>
      <c r="N115" s="11" t="s">
        <v>68</v>
      </c>
      <c r="O115" s="10"/>
    </row>
    <row r="116" customFormat="false" ht="15" hidden="false" customHeight="false" outlineLevel="0" collapsed="false">
      <c r="A116" s="11" t="n">
        <v>115</v>
      </c>
      <c r="B116" s="10" t="s">
        <v>318</v>
      </c>
      <c r="C116" s="10" t="s">
        <v>319</v>
      </c>
      <c r="D116" s="10" t="s">
        <v>315</v>
      </c>
      <c r="E116" s="10" t="s">
        <v>14</v>
      </c>
      <c r="F116" s="11" t="s">
        <v>276</v>
      </c>
      <c r="G116" s="11" t="s">
        <v>41</v>
      </c>
      <c r="H116" s="11" t="n">
        <v>1</v>
      </c>
      <c r="I116" s="11" t="s">
        <v>62</v>
      </c>
      <c r="J116" s="10"/>
      <c r="K116" s="11" t="s">
        <v>50</v>
      </c>
      <c r="L116" s="11" t="s">
        <v>44</v>
      </c>
      <c r="M116" s="11"/>
      <c r="N116" s="11" t="s">
        <v>68</v>
      </c>
      <c r="O116" s="10"/>
    </row>
    <row r="117" customFormat="false" ht="15" hidden="false" customHeight="false" outlineLevel="0" collapsed="false">
      <c r="A117" s="11" t="n">
        <v>116</v>
      </c>
      <c r="B117" s="10" t="s">
        <v>320</v>
      </c>
      <c r="C117" s="10" t="s">
        <v>321</v>
      </c>
      <c r="D117" s="10" t="s">
        <v>315</v>
      </c>
      <c r="E117" s="10" t="s">
        <v>14</v>
      </c>
      <c r="F117" s="11" t="s">
        <v>276</v>
      </c>
      <c r="G117" s="11" t="s">
        <v>48</v>
      </c>
      <c r="H117" s="11" t="n">
        <v>1</v>
      </c>
      <c r="I117" s="11" t="s">
        <v>42</v>
      </c>
      <c r="J117" s="10"/>
      <c r="K117" s="11" t="s">
        <v>43</v>
      </c>
      <c r="L117" s="11" t="s">
        <v>44</v>
      </c>
      <c r="M117" s="11"/>
      <c r="N117" s="11" t="s">
        <v>68</v>
      </c>
      <c r="O117" s="10"/>
    </row>
    <row r="118" customFormat="false" ht="23.85" hidden="false" customHeight="false" outlineLevel="0" collapsed="false">
      <c r="A118" s="11" t="n">
        <v>117</v>
      </c>
      <c r="B118" s="10" t="s">
        <v>322</v>
      </c>
      <c r="C118" s="10" t="s">
        <v>323</v>
      </c>
      <c r="D118" s="10" t="s">
        <v>324</v>
      </c>
      <c r="E118" s="10" t="s">
        <v>15</v>
      </c>
      <c r="F118" s="11" t="s">
        <v>325</v>
      </c>
      <c r="G118" s="11" t="s">
        <v>53</v>
      </c>
      <c r="H118" s="11" t="n">
        <v>3</v>
      </c>
      <c r="I118" s="11" t="s">
        <v>49</v>
      </c>
      <c r="J118" s="10"/>
      <c r="K118" s="11" t="s">
        <v>50</v>
      </c>
      <c r="L118" s="11" t="s">
        <v>44</v>
      </c>
      <c r="M118" s="11" t="s">
        <v>160</v>
      </c>
      <c r="N118" s="11" t="s">
        <v>45</v>
      </c>
      <c r="O118" s="10"/>
    </row>
    <row r="119" customFormat="false" ht="23.85" hidden="false" customHeight="false" outlineLevel="0" collapsed="false">
      <c r="A119" s="11" t="n">
        <v>118</v>
      </c>
      <c r="B119" s="10" t="s">
        <v>326</v>
      </c>
      <c r="C119" s="10" t="s">
        <v>327</v>
      </c>
      <c r="D119" s="10" t="s">
        <v>324</v>
      </c>
      <c r="E119" s="10" t="s">
        <v>15</v>
      </c>
      <c r="F119" s="11" t="s">
        <v>325</v>
      </c>
      <c r="G119" s="11" t="s">
        <v>41</v>
      </c>
      <c r="H119" s="11" t="n">
        <v>3</v>
      </c>
      <c r="I119" s="11" t="s">
        <v>54</v>
      </c>
      <c r="J119" s="10"/>
      <c r="K119" s="11" t="s">
        <v>55</v>
      </c>
      <c r="L119" s="11" t="s">
        <v>56</v>
      </c>
      <c r="M119" s="11" t="s">
        <v>160</v>
      </c>
      <c r="N119" s="11" t="s">
        <v>45</v>
      </c>
      <c r="O119" s="10"/>
    </row>
    <row r="120" customFormat="false" ht="23.85" hidden="false" customHeight="false" outlineLevel="0" collapsed="false">
      <c r="A120" s="11" t="n">
        <v>119</v>
      </c>
      <c r="B120" s="10" t="s">
        <v>328</v>
      </c>
      <c r="C120" s="10" t="s">
        <v>329</v>
      </c>
      <c r="D120" s="10" t="s">
        <v>324</v>
      </c>
      <c r="E120" s="10" t="s">
        <v>15</v>
      </c>
      <c r="F120" s="11" t="s">
        <v>325</v>
      </c>
      <c r="G120" s="11" t="s">
        <v>48</v>
      </c>
      <c r="H120" s="11" t="n">
        <v>3</v>
      </c>
      <c r="I120" s="11" t="s">
        <v>59</v>
      </c>
      <c r="J120" s="10"/>
      <c r="K120" s="11" t="s">
        <v>55</v>
      </c>
      <c r="L120" s="11" t="s">
        <v>56</v>
      </c>
      <c r="M120" s="11" t="s">
        <v>160</v>
      </c>
      <c r="N120" s="11" t="s">
        <v>45</v>
      </c>
      <c r="O120" s="10"/>
    </row>
    <row r="121" customFormat="false" ht="23.85" hidden="false" customHeight="false" outlineLevel="0" collapsed="false">
      <c r="A121" s="11" t="n">
        <v>120</v>
      </c>
      <c r="B121" s="10" t="s">
        <v>330</v>
      </c>
      <c r="C121" s="10" t="s">
        <v>331</v>
      </c>
      <c r="D121" s="10" t="s">
        <v>324</v>
      </c>
      <c r="E121" s="10" t="s">
        <v>15</v>
      </c>
      <c r="F121" s="11" t="s">
        <v>325</v>
      </c>
      <c r="G121" s="11" t="s">
        <v>53</v>
      </c>
      <c r="H121" s="11" t="n">
        <v>3</v>
      </c>
      <c r="I121" s="11" t="s">
        <v>62</v>
      </c>
      <c r="J121" s="10"/>
      <c r="K121" s="11" t="s">
        <v>50</v>
      </c>
      <c r="L121" s="11" t="s">
        <v>44</v>
      </c>
      <c r="M121" s="11" t="s">
        <v>160</v>
      </c>
      <c r="N121" s="11" t="s">
        <v>130</v>
      </c>
      <c r="O121" s="10"/>
    </row>
    <row r="122" customFormat="false" ht="15" hidden="false" customHeight="false" outlineLevel="0" collapsed="false">
      <c r="A122" s="11" t="n">
        <v>121</v>
      </c>
      <c r="B122" s="10" t="s">
        <v>332</v>
      </c>
      <c r="C122" s="10" t="s">
        <v>333</v>
      </c>
      <c r="D122" s="10" t="s">
        <v>324</v>
      </c>
      <c r="E122" s="10" t="s">
        <v>15</v>
      </c>
      <c r="F122" s="11" t="s">
        <v>325</v>
      </c>
      <c r="G122" s="11" t="s">
        <v>41</v>
      </c>
      <c r="H122" s="11" t="n">
        <v>3</v>
      </c>
      <c r="I122" s="11" t="s">
        <v>42</v>
      </c>
      <c r="J122" s="10"/>
      <c r="K122" s="11" t="s">
        <v>43</v>
      </c>
      <c r="L122" s="11" t="s">
        <v>44</v>
      </c>
      <c r="M122" s="11" t="s">
        <v>160</v>
      </c>
      <c r="N122" s="11" t="s">
        <v>45</v>
      </c>
      <c r="O122" s="10"/>
    </row>
    <row r="123" customFormat="false" ht="15" hidden="false" customHeight="false" outlineLevel="0" collapsed="false">
      <c r="A123" s="11" t="n">
        <v>122</v>
      </c>
      <c r="B123" s="10" t="s">
        <v>334</v>
      </c>
      <c r="C123" s="10" t="s">
        <v>335</v>
      </c>
      <c r="D123" s="10" t="s">
        <v>324</v>
      </c>
      <c r="E123" s="10" t="s">
        <v>15</v>
      </c>
      <c r="F123" s="11" t="s">
        <v>325</v>
      </c>
      <c r="G123" s="11" t="s">
        <v>48</v>
      </c>
      <c r="H123" s="11" t="n">
        <v>3</v>
      </c>
      <c r="I123" s="11" t="s">
        <v>49</v>
      </c>
      <c r="J123" s="10"/>
      <c r="K123" s="11" t="s">
        <v>50</v>
      </c>
      <c r="L123" s="11" t="s">
        <v>44</v>
      </c>
      <c r="M123" s="11" t="s">
        <v>160</v>
      </c>
      <c r="N123" s="11" t="s">
        <v>45</v>
      </c>
      <c r="O123" s="10"/>
    </row>
    <row r="124" customFormat="false" ht="15" hidden="false" customHeight="false" outlineLevel="0" collapsed="false">
      <c r="A124" s="11" t="n">
        <v>123</v>
      </c>
      <c r="B124" s="10" t="s">
        <v>336</v>
      </c>
      <c r="C124" s="10" t="s">
        <v>337</v>
      </c>
      <c r="D124" s="10" t="s">
        <v>338</v>
      </c>
      <c r="E124" s="10" t="s">
        <v>15</v>
      </c>
      <c r="F124" s="11" t="s">
        <v>151</v>
      </c>
      <c r="G124" s="11" t="s">
        <v>53</v>
      </c>
      <c r="H124" s="11" t="n">
        <v>1</v>
      </c>
      <c r="I124" s="11" t="s">
        <v>54</v>
      </c>
      <c r="J124" s="10"/>
      <c r="K124" s="11" t="s">
        <v>55</v>
      </c>
      <c r="L124" s="11" t="s">
        <v>56</v>
      </c>
      <c r="M124" s="11"/>
      <c r="N124" s="11" t="s">
        <v>45</v>
      </c>
      <c r="O124" s="10"/>
    </row>
    <row r="125" customFormat="false" ht="15" hidden="false" customHeight="false" outlineLevel="0" collapsed="false">
      <c r="A125" s="11" t="n">
        <v>124</v>
      </c>
      <c r="B125" s="10" t="s">
        <v>339</v>
      </c>
      <c r="C125" s="10" t="s">
        <v>340</v>
      </c>
      <c r="D125" s="10" t="s">
        <v>338</v>
      </c>
      <c r="E125" s="10" t="s">
        <v>15</v>
      </c>
      <c r="F125" s="11" t="s">
        <v>151</v>
      </c>
      <c r="G125" s="11" t="s">
        <v>41</v>
      </c>
      <c r="H125" s="11" t="n">
        <v>1</v>
      </c>
      <c r="I125" s="11" t="s">
        <v>59</v>
      </c>
      <c r="J125" s="10"/>
      <c r="K125" s="11" t="s">
        <v>55</v>
      </c>
      <c r="L125" s="11" t="s">
        <v>56</v>
      </c>
      <c r="M125" s="11"/>
      <c r="N125" s="11" t="s">
        <v>68</v>
      </c>
      <c r="O125" s="10"/>
    </row>
    <row r="126" customFormat="false" ht="15" hidden="false" customHeight="false" outlineLevel="0" collapsed="false">
      <c r="A126" s="11" t="n">
        <v>125</v>
      </c>
      <c r="B126" s="10" t="s">
        <v>341</v>
      </c>
      <c r="C126" s="10" t="s">
        <v>342</v>
      </c>
      <c r="D126" s="10" t="s">
        <v>338</v>
      </c>
      <c r="E126" s="10" t="s">
        <v>15</v>
      </c>
      <c r="F126" s="11" t="s">
        <v>151</v>
      </c>
      <c r="G126" s="11" t="s">
        <v>48</v>
      </c>
      <c r="H126" s="11" t="n">
        <v>1</v>
      </c>
      <c r="I126" s="11" t="s">
        <v>62</v>
      </c>
      <c r="J126" s="10"/>
      <c r="K126" s="11" t="s">
        <v>50</v>
      </c>
      <c r="L126" s="11" t="s">
        <v>44</v>
      </c>
      <c r="M126" s="11"/>
      <c r="N126" s="11" t="s">
        <v>45</v>
      </c>
      <c r="O126" s="10"/>
    </row>
    <row r="127" customFormat="false" ht="15" hidden="false" customHeight="false" outlineLevel="0" collapsed="false">
      <c r="A127" s="11" t="n">
        <v>126</v>
      </c>
      <c r="B127" s="10" t="s">
        <v>343</v>
      </c>
      <c r="C127" s="10" t="s">
        <v>344</v>
      </c>
      <c r="D127" s="10" t="s">
        <v>338</v>
      </c>
      <c r="E127" s="10" t="s">
        <v>15</v>
      </c>
      <c r="F127" s="11" t="s">
        <v>151</v>
      </c>
      <c r="G127" s="11" t="s">
        <v>53</v>
      </c>
      <c r="H127" s="11" t="n">
        <v>1</v>
      </c>
      <c r="I127" s="11" t="s">
        <v>42</v>
      </c>
      <c r="J127" s="10"/>
      <c r="K127" s="11" t="s">
        <v>43</v>
      </c>
      <c r="L127" s="11" t="s">
        <v>44</v>
      </c>
      <c r="M127" s="11"/>
      <c r="N127" s="11" t="s">
        <v>45</v>
      </c>
      <c r="O127" s="10"/>
    </row>
    <row r="128" customFormat="false" ht="15" hidden="false" customHeight="false" outlineLevel="0" collapsed="false">
      <c r="A128" s="11" t="n">
        <v>127</v>
      </c>
      <c r="B128" s="10" t="s">
        <v>345</v>
      </c>
      <c r="C128" s="10" t="s">
        <v>346</v>
      </c>
      <c r="D128" s="10" t="s">
        <v>338</v>
      </c>
      <c r="E128" s="10" t="s">
        <v>15</v>
      </c>
      <c r="F128" s="11" t="s">
        <v>151</v>
      </c>
      <c r="G128" s="11" t="s">
        <v>41</v>
      </c>
      <c r="H128" s="11" t="n">
        <v>1</v>
      </c>
      <c r="I128" s="11" t="s">
        <v>49</v>
      </c>
      <c r="J128" s="10"/>
      <c r="K128" s="11" t="s">
        <v>50</v>
      </c>
      <c r="L128" s="11" t="s">
        <v>44</v>
      </c>
      <c r="M128" s="11"/>
      <c r="N128" s="11" t="s">
        <v>45</v>
      </c>
      <c r="O128" s="10"/>
    </row>
    <row r="129" customFormat="false" ht="15" hidden="false" customHeight="false" outlineLevel="0" collapsed="false">
      <c r="A129" s="11" t="n">
        <v>128</v>
      </c>
      <c r="B129" s="10" t="s">
        <v>347</v>
      </c>
      <c r="C129" s="10" t="s">
        <v>348</v>
      </c>
      <c r="D129" s="10" t="s">
        <v>338</v>
      </c>
      <c r="E129" s="10" t="s">
        <v>15</v>
      </c>
      <c r="F129" s="11" t="s">
        <v>151</v>
      </c>
      <c r="G129" s="11" t="s">
        <v>48</v>
      </c>
      <c r="H129" s="11" t="n">
        <v>1</v>
      </c>
      <c r="I129" s="11" t="s">
        <v>54</v>
      </c>
      <c r="J129" s="10"/>
      <c r="K129" s="11" t="s">
        <v>55</v>
      </c>
      <c r="L129" s="11" t="s">
        <v>56</v>
      </c>
      <c r="M129" s="11"/>
      <c r="N129" s="11" t="s">
        <v>45</v>
      </c>
      <c r="O129" s="10"/>
    </row>
    <row r="130" customFormat="false" ht="15" hidden="false" customHeight="false" outlineLevel="0" collapsed="false">
      <c r="A130" s="11" t="n">
        <v>129</v>
      </c>
      <c r="B130" s="10" t="s">
        <v>349</v>
      </c>
      <c r="C130" s="10" t="s">
        <v>350</v>
      </c>
      <c r="D130" s="10" t="s">
        <v>351</v>
      </c>
      <c r="E130" s="10" t="s">
        <v>15</v>
      </c>
      <c r="F130" s="11" t="s">
        <v>94</v>
      </c>
      <c r="G130" s="11" t="s">
        <v>53</v>
      </c>
      <c r="H130" s="11" t="n">
        <v>1</v>
      </c>
      <c r="I130" s="11" t="s">
        <v>59</v>
      </c>
      <c r="J130" s="10"/>
      <c r="K130" s="11" t="s">
        <v>55</v>
      </c>
      <c r="L130" s="11" t="s">
        <v>56</v>
      </c>
      <c r="M130" s="11"/>
      <c r="N130" s="11" t="s">
        <v>45</v>
      </c>
      <c r="O130" s="10"/>
    </row>
    <row r="131" customFormat="false" ht="15" hidden="false" customHeight="false" outlineLevel="0" collapsed="false">
      <c r="A131" s="11" t="n">
        <v>130</v>
      </c>
      <c r="B131" s="10" t="s">
        <v>352</v>
      </c>
      <c r="C131" s="10" t="s">
        <v>353</v>
      </c>
      <c r="D131" s="10" t="s">
        <v>351</v>
      </c>
      <c r="E131" s="10" t="s">
        <v>15</v>
      </c>
      <c r="F131" s="11" t="s">
        <v>94</v>
      </c>
      <c r="G131" s="11" t="s">
        <v>41</v>
      </c>
      <c r="H131" s="11" t="n">
        <v>1</v>
      </c>
      <c r="I131" s="11" t="s">
        <v>62</v>
      </c>
      <c r="J131" s="10"/>
      <c r="K131" s="11" t="s">
        <v>50</v>
      </c>
      <c r="L131" s="11" t="s">
        <v>44</v>
      </c>
      <c r="M131" s="11"/>
      <c r="N131" s="11" t="s">
        <v>68</v>
      </c>
      <c r="O131" s="10"/>
    </row>
    <row r="132" customFormat="false" ht="15" hidden="false" customHeight="false" outlineLevel="0" collapsed="false">
      <c r="A132" s="11" t="n">
        <v>131</v>
      </c>
      <c r="B132" s="10" t="s">
        <v>354</v>
      </c>
      <c r="C132" s="10" t="s">
        <v>355</v>
      </c>
      <c r="D132" s="10" t="s">
        <v>351</v>
      </c>
      <c r="E132" s="10" t="s">
        <v>15</v>
      </c>
      <c r="F132" s="11" t="s">
        <v>94</v>
      </c>
      <c r="G132" s="11" t="s">
        <v>48</v>
      </c>
      <c r="H132" s="11" t="n">
        <v>1</v>
      </c>
      <c r="I132" s="11" t="s">
        <v>42</v>
      </c>
      <c r="J132" s="10"/>
      <c r="K132" s="11" t="s">
        <v>43</v>
      </c>
      <c r="L132" s="11" t="s">
        <v>44</v>
      </c>
      <c r="M132" s="11"/>
      <c r="N132" s="11" t="s">
        <v>68</v>
      </c>
      <c r="O132" s="10"/>
    </row>
    <row r="133" customFormat="false" ht="15" hidden="false" customHeight="false" outlineLevel="0" collapsed="false">
      <c r="A133" s="11" t="n">
        <v>132</v>
      </c>
      <c r="B133" s="10" t="s">
        <v>356</v>
      </c>
      <c r="C133" s="10" t="s">
        <v>357</v>
      </c>
      <c r="D133" s="10" t="s">
        <v>351</v>
      </c>
      <c r="E133" s="10" t="s">
        <v>15</v>
      </c>
      <c r="F133" s="11" t="s">
        <v>94</v>
      </c>
      <c r="G133" s="11" t="s">
        <v>53</v>
      </c>
      <c r="H133" s="11" t="n">
        <v>1</v>
      </c>
      <c r="I133" s="11" t="s">
        <v>49</v>
      </c>
      <c r="J133" s="10"/>
      <c r="K133" s="11" t="s">
        <v>50</v>
      </c>
      <c r="L133" s="11" t="s">
        <v>44</v>
      </c>
      <c r="M133" s="11"/>
      <c r="N133" s="11" t="s">
        <v>45</v>
      </c>
      <c r="O133" s="10"/>
    </row>
    <row r="134" customFormat="false" ht="15" hidden="false" customHeight="false" outlineLevel="0" collapsed="false">
      <c r="A134" s="11" t="n">
        <v>133</v>
      </c>
      <c r="B134" s="10" t="s">
        <v>358</v>
      </c>
      <c r="C134" s="10" t="s">
        <v>359</v>
      </c>
      <c r="D134" s="10" t="s">
        <v>360</v>
      </c>
      <c r="E134" s="10" t="s">
        <v>15</v>
      </c>
      <c r="F134" s="11" t="s">
        <v>276</v>
      </c>
      <c r="G134" s="11" t="s">
        <v>41</v>
      </c>
      <c r="H134" s="11" t="n">
        <v>1</v>
      </c>
      <c r="I134" s="11" t="s">
        <v>54</v>
      </c>
      <c r="J134" s="10"/>
      <c r="K134" s="11" t="s">
        <v>55</v>
      </c>
      <c r="L134" s="11" t="s">
        <v>56</v>
      </c>
      <c r="M134" s="11"/>
      <c r="N134" s="11" t="s">
        <v>45</v>
      </c>
      <c r="O134" s="10"/>
    </row>
    <row r="135" customFormat="false" ht="15" hidden="false" customHeight="false" outlineLevel="0" collapsed="false">
      <c r="A135" s="11" t="n">
        <v>134</v>
      </c>
      <c r="B135" s="10" t="s">
        <v>361</v>
      </c>
      <c r="C135" s="10" t="s">
        <v>362</v>
      </c>
      <c r="D135" s="10" t="s">
        <v>360</v>
      </c>
      <c r="E135" s="10" t="s">
        <v>15</v>
      </c>
      <c r="F135" s="11" t="s">
        <v>276</v>
      </c>
      <c r="G135" s="11" t="s">
        <v>48</v>
      </c>
      <c r="H135" s="11" t="n">
        <v>1</v>
      </c>
      <c r="I135" s="11" t="s">
        <v>59</v>
      </c>
      <c r="J135" s="10"/>
      <c r="K135" s="11" t="s">
        <v>55</v>
      </c>
      <c r="L135" s="11" t="s">
        <v>56</v>
      </c>
      <c r="M135" s="11"/>
      <c r="N135" s="11" t="s">
        <v>45</v>
      </c>
      <c r="O135" s="10"/>
    </row>
    <row r="136" customFormat="false" ht="23.85" hidden="false" customHeight="false" outlineLevel="0" collapsed="false">
      <c r="A136" s="11" t="n">
        <v>135</v>
      </c>
      <c r="B136" s="10" t="s">
        <v>363</v>
      </c>
      <c r="C136" s="10" t="s">
        <v>364</v>
      </c>
      <c r="D136" s="10" t="s">
        <v>360</v>
      </c>
      <c r="E136" s="10" t="s">
        <v>15</v>
      </c>
      <c r="F136" s="11" t="s">
        <v>276</v>
      </c>
      <c r="G136" s="11" t="s">
        <v>53</v>
      </c>
      <c r="H136" s="11" t="n">
        <v>1</v>
      </c>
      <c r="I136" s="11" t="s">
        <v>62</v>
      </c>
      <c r="J136" s="10"/>
      <c r="K136" s="11" t="s">
        <v>50</v>
      </c>
      <c r="L136" s="11" t="s">
        <v>44</v>
      </c>
      <c r="M136" s="11"/>
      <c r="N136" s="11" t="s">
        <v>45</v>
      </c>
      <c r="O136" s="10"/>
    </row>
    <row r="137" customFormat="false" ht="15" hidden="false" customHeight="false" outlineLevel="0" collapsed="false">
      <c r="A137" s="11" t="n">
        <v>136</v>
      </c>
      <c r="B137" s="10" t="s">
        <v>365</v>
      </c>
      <c r="C137" s="10" t="s">
        <v>366</v>
      </c>
      <c r="D137" s="10" t="s">
        <v>360</v>
      </c>
      <c r="E137" s="10" t="s">
        <v>15</v>
      </c>
      <c r="F137" s="11" t="s">
        <v>276</v>
      </c>
      <c r="G137" s="11" t="s">
        <v>41</v>
      </c>
      <c r="H137" s="11" t="n">
        <v>1</v>
      </c>
      <c r="I137" s="11" t="s">
        <v>42</v>
      </c>
      <c r="J137" s="10"/>
      <c r="K137" s="11" t="s">
        <v>43</v>
      </c>
      <c r="L137" s="11" t="s">
        <v>44</v>
      </c>
      <c r="M137" s="11"/>
      <c r="N137" s="11" t="s">
        <v>45</v>
      </c>
      <c r="O137" s="10"/>
    </row>
    <row r="138" customFormat="false" ht="15" hidden="false" customHeight="false" outlineLevel="0" collapsed="false">
      <c r="A138" s="11" t="n">
        <v>137</v>
      </c>
      <c r="B138" s="10" t="s">
        <v>367</v>
      </c>
      <c r="C138" s="10" t="s">
        <v>368</v>
      </c>
      <c r="D138" s="10" t="s">
        <v>369</v>
      </c>
      <c r="E138" s="10" t="s">
        <v>16</v>
      </c>
      <c r="F138" s="11" t="s">
        <v>370</v>
      </c>
      <c r="G138" s="11" t="s">
        <v>48</v>
      </c>
      <c r="H138" s="11" t="n">
        <v>1</v>
      </c>
      <c r="I138" s="11" t="s">
        <v>49</v>
      </c>
      <c r="J138" s="10"/>
      <c r="K138" s="11" t="s">
        <v>50</v>
      </c>
      <c r="L138" s="11" t="s">
        <v>44</v>
      </c>
      <c r="M138" s="11"/>
      <c r="N138" s="11" t="s">
        <v>45</v>
      </c>
      <c r="O138" s="10"/>
    </row>
    <row r="139" customFormat="false" ht="15" hidden="false" customHeight="false" outlineLevel="0" collapsed="false">
      <c r="A139" s="11" t="n">
        <v>138</v>
      </c>
      <c r="B139" s="10" t="s">
        <v>371</v>
      </c>
      <c r="C139" s="10" t="s">
        <v>372</v>
      </c>
      <c r="D139" s="10" t="s">
        <v>369</v>
      </c>
      <c r="E139" s="10" t="s">
        <v>16</v>
      </c>
      <c r="F139" s="11" t="s">
        <v>370</v>
      </c>
      <c r="G139" s="11" t="s">
        <v>53</v>
      </c>
      <c r="H139" s="11" t="n">
        <v>1</v>
      </c>
      <c r="I139" s="11" t="s">
        <v>54</v>
      </c>
      <c r="J139" s="10"/>
      <c r="K139" s="11" t="s">
        <v>55</v>
      </c>
      <c r="L139" s="11" t="s">
        <v>56</v>
      </c>
      <c r="M139" s="11"/>
      <c r="N139" s="11" t="s">
        <v>45</v>
      </c>
      <c r="O139" s="10"/>
    </row>
    <row r="140" customFormat="false" ht="15" hidden="false" customHeight="false" outlineLevel="0" collapsed="false">
      <c r="A140" s="11" t="n">
        <v>139</v>
      </c>
      <c r="B140" s="10" t="s">
        <v>373</v>
      </c>
      <c r="C140" s="10" t="s">
        <v>374</v>
      </c>
      <c r="D140" s="10" t="s">
        <v>369</v>
      </c>
      <c r="E140" s="10" t="s">
        <v>16</v>
      </c>
      <c r="F140" s="11" t="s">
        <v>370</v>
      </c>
      <c r="G140" s="11" t="s">
        <v>41</v>
      </c>
      <c r="H140" s="11" t="n">
        <v>1</v>
      </c>
      <c r="I140" s="11" t="s">
        <v>59</v>
      </c>
      <c r="J140" s="10"/>
      <c r="K140" s="11" t="s">
        <v>55</v>
      </c>
      <c r="L140" s="11" t="s">
        <v>56</v>
      </c>
      <c r="M140" s="11"/>
      <c r="N140" s="11" t="s">
        <v>45</v>
      </c>
      <c r="O140" s="10"/>
    </row>
    <row r="141" customFormat="false" ht="15" hidden="false" customHeight="false" outlineLevel="0" collapsed="false">
      <c r="A141" s="11" t="n">
        <v>140</v>
      </c>
      <c r="B141" s="10" t="s">
        <v>375</v>
      </c>
      <c r="C141" s="10" t="s">
        <v>376</v>
      </c>
      <c r="D141" s="10" t="s">
        <v>369</v>
      </c>
      <c r="E141" s="10" t="s">
        <v>16</v>
      </c>
      <c r="F141" s="11" t="s">
        <v>370</v>
      </c>
      <c r="G141" s="11" t="s">
        <v>48</v>
      </c>
      <c r="H141" s="11" t="n">
        <v>1</v>
      </c>
      <c r="I141" s="11" t="s">
        <v>62</v>
      </c>
      <c r="J141" s="10"/>
      <c r="K141" s="11" t="s">
        <v>50</v>
      </c>
      <c r="L141" s="11" t="s">
        <v>44</v>
      </c>
      <c r="M141" s="11"/>
      <c r="N141" s="11" t="s">
        <v>45</v>
      </c>
      <c r="O141" s="10"/>
    </row>
    <row r="142" customFormat="false" ht="15" hidden="false" customHeight="false" outlineLevel="0" collapsed="false">
      <c r="A142" s="11" t="n">
        <v>141</v>
      </c>
      <c r="B142" s="10" t="s">
        <v>377</v>
      </c>
      <c r="C142" s="10" t="s">
        <v>378</v>
      </c>
      <c r="D142" s="10" t="s">
        <v>369</v>
      </c>
      <c r="E142" s="10" t="s">
        <v>16</v>
      </c>
      <c r="F142" s="11" t="s">
        <v>370</v>
      </c>
      <c r="G142" s="11" t="s">
        <v>53</v>
      </c>
      <c r="H142" s="11" t="n">
        <v>1</v>
      </c>
      <c r="I142" s="11" t="s">
        <v>42</v>
      </c>
      <c r="J142" s="10"/>
      <c r="K142" s="11" t="s">
        <v>43</v>
      </c>
      <c r="L142" s="11" t="s">
        <v>44</v>
      </c>
      <c r="M142" s="11"/>
      <c r="N142" s="11" t="s">
        <v>45</v>
      </c>
      <c r="O142" s="10"/>
    </row>
    <row r="143" customFormat="false" ht="15" hidden="false" customHeight="false" outlineLevel="0" collapsed="false">
      <c r="A143" s="11" t="n">
        <v>142</v>
      </c>
      <c r="B143" s="10" t="s">
        <v>379</v>
      </c>
      <c r="C143" s="10" t="s">
        <v>380</v>
      </c>
      <c r="D143" s="10" t="s">
        <v>381</v>
      </c>
      <c r="E143" s="10" t="s">
        <v>16</v>
      </c>
      <c r="F143" s="11" t="s">
        <v>106</v>
      </c>
      <c r="G143" s="11" t="s">
        <v>41</v>
      </c>
      <c r="H143" s="11" t="n">
        <v>1</v>
      </c>
      <c r="I143" s="11" t="s">
        <v>49</v>
      </c>
      <c r="J143" s="10"/>
      <c r="K143" s="11" t="s">
        <v>50</v>
      </c>
      <c r="L143" s="11" t="s">
        <v>44</v>
      </c>
      <c r="M143" s="11"/>
      <c r="N143" s="11" t="s">
        <v>45</v>
      </c>
      <c r="O143" s="10"/>
    </row>
    <row r="144" customFormat="false" ht="15" hidden="false" customHeight="false" outlineLevel="0" collapsed="false">
      <c r="A144" s="11" t="n">
        <v>143</v>
      </c>
      <c r="B144" s="10" t="s">
        <v>382</v>
      </c>
      <c r="C144" s="10" t="s">
        <v>383</v>
      </c>
      <c r="D144" s="10" t="s">
        <v>381</v>
      </c>
      <c r="E144" s="10" t="s">
        <v>16</v>
      </c>
      <c r="F144" s="11" t="s">
        <v>106</v>
      </c>
      <c r="G144" s="11" t="s">
        <v>48</v>
      </c>
      <c r="H144" s="11" t="n">
        <v>1</v>
      </c>
      <c r="I144" s="11" t="s">
        <v>54</v>
      </c>
      <c r="J144" s="10"/>
      <c r="K144" s="11" t="s">
        <v>55</v>
      </c>
      <c r="L144" s="11" t="s">
        <v>56</v>
      </c>
      <c r="M144" s="11"/>
      <c r="N144" s="11" t="s">
        <v>68</v>
      </c>
      <c r="O144" s="10"/>
    </row>
    <row r="145" customFormat="false" ht="15" hidden="false" customHeight="false" outlineLevel="0" collapsed="false">
      <c r="A145" s="11" t="n">
        <v>144</v>
      </c>
      <c r="B145" s="10" t="s">
        <v>384</v>
      </c>
      <c r="C145" s="10" t="s">
        <v>385</v>
      </c>
      <c r="D145" s="10" t="s">
        <v>381</v>
      </c>
      <c r="E145" s="10" t="s">
        <v>16</v>
      </c>
      <c r="F145" s="11" t="s">
        <v>106</v>
      </c>
      <c r="G145" s="11" t="s">
        <v>53</v>
      </c>
      <c r="H145" s="11" t="n">
        <v>1</v>
      </c>
      <c r="I145" s="11" t="s">
        <v>59</v>
      </c>
      <c r="J145" s="10"/>
      <c r="K145" s="11" t="s">
        <v>55</v>
      </c>
      <c r="L145" s="11" t="s">
        <v>56</v>
      </c>
      <c r="M145" s="11"/>
      <c r="N145" s="11" t="s">
        <v>45</v>
      </c>
      <c r="O145" s="10"/>
    </row>
    <row r="146" customFormat="false" ht="15" hidden="false" customHeight="false" outlineLevel="0" collapsed="false">
      <c r="A146" s="11" t="n">
        <v>145</v>
      </c>
      <c r="B146" s="10" t="s">
        <v>386</v>
      </c>
      <c r="C146" s="10" t="s">
        <v>387</v>
      </c>
      <c r="D146" s="10" t="s">
        <v>381</v>
      </c>
      <c r="E146" s="10" t="s">
        <v>16</v>
      </c>
      <c r="F146" s="11" t="s">
        <v>106</v>
      </c>
      <c r="G146" s="11" t="s">
        <v>41</v>
      </c>
      <c r="H146" s="11" t="n">
        <v>1</v>
      </c>
      <c r="I146" s="11" t="s">
        <v>62</v>
      </c>
      <c r="J146" s="10"/>
      <c r="K146" s="11" t="s">
        <v>50</v>
      </c>
      <c r="L146" s="11" t="s">
        <v>44</v>
      </c>
      <c r="M146" s="11"/>
      <c r="N146" s="11" t="s">
        <v>45</v>
      </c>
      <c r="O146" s="10"/>
    </row>
    <row r="147" customFormat="false" ht="15" hidden="false" customHeight="false" outlineLevel="0" collapsed="false">
      <c r="A147" s="11" t="n">
        <v>146</v>
      </c>
      <c r="B147" s="10" t="s">
        <v>388</v>
      </c>
      <c r="C147" s="10" t="s">
        <v>389</v>
      </c>
      <c r="D147" s="10" t="s">
        <v>381</v>
      </c>
      <c r="E147" s="10" t="s">
        <v>16</v>
      </c>
      <c r="F147" s="11" t="s">
        <v>106</v>
      </c>
      <c r="G147" s="11" t="s">
        <v>48</v>
      </c>
      <c r="H147" s="11" t="n">
        <v>1</v>
      </c>
      <c r="I147" s="11" t="s">
        <v>42</v>
      </c>
      <c r="J147" s="10"/>
      <c r="K147" s="11" t="s">
        <v>43</v>
      </c>
      <c r="L147" s="11" t="s">
        <v>44</v>
      </c>
      <c r="M147" s="11"/>
      <c r="N147" s="11" t="s">
        <v>45</v>
      </c>
      <c r="O147" s="10"/>
    </row>
    <row r="148" customFormat="false" ht="15" hidden="false" customHeight="false" outlineLevel="0" collapsed="false">
      <c r="A148" s="11" t="n">
        <v>147</v>
      </c>
      <c r="B148" s="10" t="s">
        <v>390</v>
      </c>
      <c r="C148" s="10" t="s">
        <v>391</v>
      </c>
      <c r="D148" s="10" t="s">
        <v>381</v>
      </c>
      <c r="E148" s="10" t="s">
        <v>16</v>
      </c>
      <c r="F148" s="11" t="s">
        <v>106</v>
      </c>
      <c r="G148" s="11" t="s">
        <v>53</v>
      </c>
      <c r="H148" s="11" t="n">
        <v>1</v>
      </c>
      <c r="I148" s="11" t="s">
        <v>49</v>
      </c>
      <c r="J148" s="10"/>
      <c r="K148" s="11" t="s">
        <v>50</v>
      </c>
      <c r="L148" s="11" t="s">
        <v>44</v>
      </c>
      <c r="M148" s="11"/>
      <c r="N148" s="11" t="s">
        <v>68</v>
      </c>
      <c r="O148" s="10"/>
    </row>
    <row r="149" customFormat="false" ht="15" hidden="false" customHeight="false" outlineLevel="0" collapsed="false">
      <c r="A149" s="11" t="n">
        <v>148</v>
      </c>
      <c r="B149" s="10" t="s">
        <v>392</v>
      </c>
      <c r="C149" s="10" t="s">
        <v>393</v>
      </c>
      <c r="D149" s="10" t="s">
        <v>381</v>
      </c>
      <c r="E149" s="10" t="s">
        <v>16</v>
      </c>
      <c r="F149" s="11" t="s">
        <v>106</v>
      </c>
      <c r="G149" s="11" t="s">
        <v>41</v>
      </c>
      <c r="H149" s="11" t="n">
        <v>1</v>
      </c>
      <c r="I149" s="11" t="s">
        <v>54</v>
      </c>
      <c r="J149" s="10"/>
      <c r="K149" s="11" t="s">
        <v>55</v>
      </c>
      <c r="L149" s="11" t="s">
        <v>56</v>
      </c>
      <c r="M149" s="11"/>
      <c r="N149" s="11" t="s">
        <v>45</v>
      </c>
      <c r="O149" s="10"/>
    </row>
    <row r="150" customFormat="false" ht="15" hidden="false" customHeight="false" outlineLevel="0" collapsed="false">
      <c r="A150" s="11" t="n">
        <v>149</v>
      </c>
      <c r="B150" s="10" t="s">
        <v>394</v>
      </c>
      <c r="C150" s="10" t="s">
        <v>395</v>
      </c>
      <c r="D150" s="10" t="s">
        <v>381</v>
      </c>
      <c r="E150" s="10" t="s">
        <v>16</v>
      </c>
      <c r="F150" s="11" t="s">
        <v>106</v>
      </c>
      <c r="G150" s="11" t="s">
        <v>48</v>
      </c>
      <c r="H150" s="11" t="n">
        <v>1</v>
      </c>
      <c r="I150" s="11" t="s">
        <v>59</v>
      </c>
      <c r="J150" s="10"/>
      <c r="K150" s="11" t="s">
        <v>55</v>
      </c>
      <c r="L150" s="11" t="s">
        <v>56</v>
      </c>
      <c r="M150" s="11"/>
      <c r="N150" s="11" t="s">
        <v>45</v>
      </c>
      <c r="O150" s="10"/>
    </row>
    <row r="151" customFormat="false" ht="15" hidden="false" customHeight="false" outlineLevel="0" collapsed="false">
      <c r="A151" s="11" t="n">
        <v>150</v>
      </c>
      <c r="B151" s="10" t="s">
        <v>396</v>
      </c>
      <c r="C151" s="10" t="s">
        <v>397</v>
      </c>
      <c r="D151" s="10" t="s">
        <v>398</v>
      </c>
      <c r="E151" s="10" t="s">
        <v>16</v>
      </c>
      <c r="F151" s="11" t="s">
        <v>399</v>
      </c>
      <c r="G151" s="11" t="s">
        <v>53</v>
      </c>
      <c r="H151" s="11" t="n">
        <v>1</v>
      </c>
      <c r="I151" s="11" t="s">
        <v>62</v>
      </c>
      <c r="J151" s="10"/>
      <c r="K151" s="11" t="s">
        <v>50</v>
      </c>
      <c r="L151" s="11" t="s">
        <v>44</v>
      </c>
      <c r="M151" s="11"/>
      <c r="N151" s="11" t="s">
        <v>68</v>
      </c>
      <c r="O151" s="10"/>
    </row>
    <row r="152" customFormat="false" ht="15" hidden="false" customHeight="false" outlineLevel="0" collapsed="false">
      <c r="A152" s="11" t="n">
        <v>151</v>
      </c>
      <c r="B152" s="10" t="s">
        <v>400</v>
      </c>
      <c r="C152" s="10" t="s">
        <v>401</v>
      </c>
      <c r="D152" s="10" t="s">
        <v>398</v>
      </c>
      <c r="E152" s="10" t="s">
        <v>16</v>
      </c>
      <c r="F152" s="11" t="s">
        <v>399</v>
      </c>
      <c r="G152" s="11" t="s">
        <v>41</v>
      </c>
      <c r="H152" s="11" t="n">
        <v>1</v>
      </c>
      <c r="I152" s="11" t="s">
        <v>42</v>
      </c>
      <c r="J152" s="10"/>
      <c r="K152" s="11" t="s">
        <v>43</v>
      </c>
      <c r="L152" s="11" t="s">
        <v>44</v>
      </c>
      <c r="M152" s="11"/>
      <c r="N152" s="11" t="s">
        <v>45</v>
      </c>
      <c r="O152" s="10"/>
    </row>
    <row r="153" customFormat="false" ht="15" hidden="false" customHeight="false" outlineLevel="0" collapsed="false">
      <c r="A153" s="11" t="n">
        <v>152</v>
      </c>
      <c r="B153" s="10" t="s">
        <v>402</v>
      </c>
      <c r="C153" s="10" t="s">
        <v>403</v>
      </c>
      <c r="D153" s="10" t="s">
        <v>398</v>
      </c>
      <c r="E153" s="10" t="s">
        <v>16</v>
      </c>
      <c r="F153" s="11" t="s">
        <v>399</v>
      </c>
      <c r="G153" s="11" t="s">
        <v>48</v>
      </c>
      <c r="H153" s="11" t="n">
        <v>1</v>
      </c>
      <c r="I153" s="11" t="s">
        <v>49</v>
      </c>
      <c r="J153" s="10"/>
      <c r="K153" s="11" t="s">
        <v>50</v>
      </c>
      <c r="L153" s="11" t="s">
        <v>44</v>
      </c>
      <c r="M153" s="11"/>
      <c r="N153" s="11" t="s">
        <v>45</v>
      </c>
      <c r="O153" s="10"/>
    </row>
    <row r="154" customFormat="false" ht="15" hidden="false" customHeight="false" outlineLevel="0" collapsed="false">
      <c r="A154" s="11" t="n">
        <v>153</v>
      </c>
      <c r="B154" s="10" t="s">
        <v>404</v>
      </c>
      <c r="C154" s="10" t="s">
        <v>405</v>
      </c>
      <c r="D154" s="10" t="s">
        <v>398</v>
      </c>
      <c r="E154" s="10" t="s">
        <v>16</v>
      </c>
      <c r="F154" s="11" t="s">
        <v>399</v>
      </c>
      <c r="G154" s="11" t="s">
        <v>53</v>
      </c>
      <c r="H154" s="11" t="n">
        <v>1</v>
      </c>
      <c r="I154" s="11" t="s">
        <v>54</v>
      </c>
      <c r="J154" s="10"/>
      <c r="K154" s="11" t="s">
        <v>55</v>
      </c>
      <c r="L154" s="11" t="s">
        <v>56</v>
      </c>
      <c r="M154" s="11"/>
      <c r="N154" s="11" t="s">
        <v>130</v>
      </c>
      <c r="O154" s="10"/>
    </row>
    <row r="155" customFormat="false" ht="15" hidden="false" customHeight="false" outlineLevel="0" collapsed="false">
      <c r="A155" s="11" t="n">
        <v>154</v>
      </c>
      <c r="B155" s="10" t="s">
        <v>406</v>
      </c>
      <c r="C155" s="10" t="s">
        <v>407</v>
      </c>
      <c r="D155" s="10" t="s">
        <v>398</v>
      </c>
      <c r="E155" s="10" t="s">
        <v>16</v>
      </c>
      <c r="F155" s="11" t="s">
        <v>399</v>
      </c>
      <c r="G155" s="11" t="s">
        <v>41</v>
      </c>
      <c r="H155" s="11" t="n">
        <v>1</v>
      </c>
      <c r="I155" s="11" t="s">
        <v>59</v>
      </c>
      <c r="J155" s="10"/>
      <c r="K155" s="11" t="s">
        <v>55</v>
      </c>
      <c r="L155" s="11" t="s">
        <v>56</v>
      </c>
      <c r="M155" s="11"/>
      <c r="N155" s="11" t="s">
        <v>45</v>
      </c>
      <c r="O155" s="10"/>
    </row>
    <row r="156" customFormat="false" ht="15" hidden="false" customHeight="false" outlineLevel="0" collapsed="false">
      <c r="A156" s="11" t="n">
        <v>155</v>
      </c>
      <c r="B156" s="10" t="s">
        <v>408</v>
      </c>
      <c r="C156" s="10" t="s">
        <v>409</v>
      </c>
      <c r="D156" s="10" t="s">
        <v>410</v>
      </c>
      <c r="E156" s="10" t="s">
        <v>16</v>
      </c>
      <c r="F156" s="11" t="s">
        <v>276</v>
      </c>
      <c r="G156" s="11" t="s">
        <v>48</v>
      </c>
      <c r="H156" s="11" t="n">
        <v>1</v>
      </c>
      <c r="I156" s="11" t="s">
        <v>62</v>
      </c>
      <c r="J156" s="10"/>
      <c r="K156" s="11" t="s">
        <v>50</v>
      </c>
      <c r="L156" s="11" t="s">
        <v>44</v>
      </c>
      <c r="M156" s="11"/>
      <c r="N156" s="11" t="s">
        <v>45</v>
      </c>
      <c r="O156" s="10"/>
    </row>
    <row r="157" customFormat="false" ht="15" hidden="false" customHeight="false" outlineLevel="0" collapsed="false">
      <c r="A157" s="11" t="n">
        <v>156</v>
      </c>
      <c r="B157" s="10" t="s">
        <v>411</v>
      </c>
      <c r="C157" s="10" t="s">
        <v>412</v>
      </c>
      <c r="D157" s="10" t="s">
        <v>410</v>
      </c>
      <c r="E157" s="10" t="s">
        <v>16</v>
      </c>
      <c r="F157" s="11" t="s">
        <v>276</v>
      </c>
      <c r="G157" s="11" t="s">
        <v>53</v>
      </c>
      <c r="H157" s="11" t="n">
        <v>1</v>
      </c>
      <c r="I157" s="11" t="s">
        <v>42</v>
      </c>
      <c r="J157" s="10"/>
      <c r="K157" s="11" t="s">
        <v>43</v>
      </c>
      <c r="L157" s="11" t="s">
        <v>44</v>
      </c>
      <c r="M157" s="11"/>
      <c r="N157" s="11" t="s">
        <v>45</v>
      </c>
      <c r="O157" s="10"/>
    </row>
    <row r="158" customFormat="false" ht="15" hidden="false" customHeight="false" outlineLevel="0" collapsed="false">
      <c r="A158" s="11" t="n">
        <v>157</v>
      </c>
      <c r="B158" s="10" t="s">
        <v>413</v>
      </c>
      <c r="C158" s="10" t="s">
        <v>414</v>
      </c>
      <c r="D158" s="10" t="s">
        <v>415</v>
      </c>
      <c r="E158" s="10" t="s">
        <v>17</v>
      </c>
      <c r="F158" s="11" t="s">
        <v>416</v>
      </c>
      <c r="G158" s="11" t="s">
        <v>41</v>
      </c>
      <c r="H158" s="11" t="n">
        <v>1</v>
      </c>
      <c r="I158" s="11" t="s">
        <v>49</v>
      </c>
      <c r="J158" s="10"/>
      <c r="K158" s="11" t="s">
        <v>50</v>
      </c>
      <c r="L158" s="11" t="s">
        <v>44</v>
      </c>
      <c r="M158" s="11"/>
      <c r="N158" s="11" t="s">
        <v>45</v>
      </c>
      <c r="O158" s="10"/>
    </row>
    <row r="159" customFormat="false" ht="15" hidden="false" customHeight="false" outlineLevel="0" collapsed="false">
      <c r="A159" s="11" t="n">
        <v>158</v>
      </c>
      <c r="B159" s="10" t="s">
        <v>417</v>
      </c>
      <c r="C159" s="10" t="s">
        <v>418</v>
      </c>
      <c r="D159" s="10" t="s">
        <v>415</v>
      </c>
      <c r="E159" s="10" t="s">
        <v>17</v>
      </c>
      <c r="F159" s="11" t="s">
        <v>416</v>
      </c>
      <c r="G159" s="11" t="s">
        <v>48</v>
      </c>
      <c r="H159" s="11" t="n">
        <v>1</v>
      </c>
      <c r="I159" s="11" t="s">
        <v>54</v>
      </c>
      <c r="J159" s="10"/>
      <c r="K159" s="11" t="s">
        <v>55</v>
      </c>
      <c r="L159" s="11" t="s">
        <v>56</v>
      </c>
      <c r="M159" s="11"/>
      <c r="N159" s="11" t="s">
        <v>45</v>
      </c>
      <c r="O159" s="10"/>
    </row>
    <row r="160" customFormat="false" ht="15" hidden="false" customHeight="false" outlineLevel="0" collapsed="false">
      <c r="A160" s="11" t="n">
        <v>159</v>
      </c>
      <c r="B160" s="10" t="s">
        <v>419</v>
      </c>
      <c r="C160" s="10" t="s">
        <v>420</v>
      </c>
      <c r="D160" s="10" t="s">
        <v>415</v>
      </c>
      <c r="E160" s="10" t="s">
        <v>17</v>
      </c>
      <c r="F160" s="11" t="s">
        <v>416</v>
      </c>
      <c r="G160" s="11" t="s">
        <v>53</v>
      </c>
      <c r="H160" s="11" t="n">
        <v>1</v>
      </c>
      <c r="I160" s="11" t="s">
        <v>59</v>
      </c>
      <c r="J160" s="10"/>
      <c r="K160" s="11" t="s">
        <v>55</v>
      </c>
      <c r="L160" s="11" t="s">
        <v>56</v>
      </c>
      <c r="M160" s="11"/>
      <c r="N160" s="11" t="s">
        <v>45</v>
      </c>
      <c r="O160" s="10"/>
    </row>
    <row r="161" customFormat="false" ht="15" hidden="false" customHeight="false" outlineLevel="0" collapsed="false">
      <c r="A161" s="11" t="n">
        <v>160</v>
      </c>
      <c r="B161" s="10" t="s">
        <v>421</v>
      </c>
      <c r="C161" s="10" t="s">
        <v>422</v>
      </c>
      <c r="D161" s="10" t="s">
        <v>415</v>
      </c>
      <c r="E161" s="10" t="s">
        <v>17</v>
      </c>
      <c r="F161" s="11" t="s">
        <v>416</v>
      </c>
      <c r="G161" s="11" t="s">
        <v>41</v>
      </c>
      <c r="H161" s="11" t="n">
        <v>1</v>
      </c>
      <c r="I161" s="11" t="s">
        <v>62</v>
      </c>
      <c r="J161" s="10"/>
      <c r="K161" s="11" t="s">
        <v>50</v>
      </c>
      <c r="L161" s="11" t="s">
        <v>44</v>
      </c>
      <c r="M161" s="11"/>
      <c r="N161" s="11" t="s">
        <v>45</v>
      </c>
      <c r="O161" s="10"/>
    </row>
    <row r="162" customFormat="false" ht="15" hidden="false" customHeight="false" outlineLevel="0" collapsed="false">
      <c r="A162" s="11" t="n">
        <v>161</v>
      </c>
      <c r="B162" s="10" t="s">
        <v>423</v>
      </c>
      <c r="C162" s="10" t="s">
        <v>424</v>
      </c>
      <c r="D162" s="10" t="s">
        <v>415</v>
      </c>
      <c r="E162" s="10" t="s">
        <v>17</v>
      </c>
      <c r="F162" s="11" t="s">
        <v>416</v>
      </c>
      <c r="G162" s="11" t="s">
        <v>48</v>
      </c>
      <c r="H162" s="11" t="n">
        <v>1</v>
      </c>
      <c r="I162" s="11" t="s">
        <v>42</v>
      </c>
      <c r="J162" s="10"/>
      <c r="K162" s="11" t="s">
        <v>43</v>
      </c>
      <c r="L162" s="11" t="s">
        <v>44</v>
      </c>
      <c r="M162" s="11"/>
      <c r="N162" s="11" t="s">
        <v>45</v>
      </c>
      <c r="O162" s="10"/>
    </row>
    <row r="163" customFormat="false" ht="15" hidden="false" customHeight="false" outlineLevel="0" collapsed="false">
      <c r="A163" s="11" t="n">
        <v>162</v>
      </c>
      <c r="B163" s="10" t="s">
        <v>425</v>
      </c>
      <c r="C163" s="10" t="s">
        <v>426</v>
      </c>
      <c r="D163" s="10" t="s">
        <v>427</v>
      </c>
      <c r="E163" s="10" t="s">
        <v>17</v>
      </c>
      <c r="F163" s="11" t="s">
        <v>428</v>
      </c>
      <c r="G163" s="11" t="s">
        <v>53</v>
      </c>
      <c r="H163" s="11" t="n">
        <v>1</v>
      </c>
      <c r="I163" s="11" t="s">
        <v>49</v>
      </c>
      <c r="J163" s="10"/>
      <c r="K163" s="11" t="s">
        <v>50</v>
      </c>
      <c r="L163" s="11" t="s">
        <v>44</v>
      </c>
      <c r="M163" s="11"/>
      <c r="N163" s="11" t="s">
        <v>45</v>
      </c>
      <c r="O163" s="10"/>
    </row>
    <row r="164" customFormat="false" ht="15" hidden="false" customHeight="false" outlineLevel="0" collapsed="false">
      <c r="A164" s="11" t="n">
        <v>163</v>
      </c>
      <c r="B164" s="10" t="s">
        <v>429</v>
      </c>
      <c r="C164" s="10" t="s">
        <v>430</v>
      </c>
      <c r="D164" s="10" t="s">
        <v>427</v>
      </c>
      <c r="E164" s="10" t="s">
        <v>17</v>
      </c>
      <c r="F164" s="11" t="s">
        <v>428</v>
      </c>
      <c r="G164" s="11" t="s">
        <v>41</v>
      </c>
      <c r="H164" s="11" t="n">
        <v>1</v>
      </c>
      <c r="I164" s="11" t="s">
        <v>54</v>
      </c>
      <c r="J164" s="10"/>
      <c r="K164" s="11" t="s">
        <v>55</v>
      </c>
      <c r="L164" s="11" t="s">
        <v>56</v>
      </c>
      <c r="M164" s="11"/>
      <c r="N164" s="11" t="s">
        <v>45</v>
      </c>
      <c r="O164" s="10"/>
    </row>
    <row r="165" customFormat="false" ht="15" hidden="false" customHeight="false" outlineLevel="0" collapsed="false">
      <c r="A165" s="11" t="n">
        <v>164</v>
      </c>
      <c r="B165" s="10" t="s">
        <v>431</v>
      </c>
      <c r="C165" s="10" t="s">
        <v>432</v>
      </c>
      <c r="D165" s="10" t="s">
        <v>427</v>
      </c>
      <c r="E165" s="10" t="s">
        <v>17</v>
      </c>
      <c r="F165" s="11" t="s">
        <v>428</v>
      </c>
      <c r="G165" s="11" t="s">
        <v>48</v>
      </c>
      <c r="H165" s="11" t="n">
        <v>1</v>
      </c>
      <c r="I165" s="11" t="s">
        <v>59</v>
      </c>
      <c r="J165" s="10"/>
      <c r="K165" s="11" t="s">
        <v>55</v>
      </c>
      <c r="L165" s="11" t="s">
        <v>56</v>
      </c>
      <c r="M165" s="11"/>
      <c r="N165" s="11" t="s">
        <v>45</v>
      </c>
      <c r="O165" s="10"/>
    </row>
    <row r="166" customFormat="false" ht="15" hidden="false" customHeight="false" outlineLevel="0" collapsed="false">
      <c r="A166" s="11" t="n">
        <v>165</v>
      </c>
      <c r="B166" s="10" t="s">
        <v>433</v>
      </c>
      <c r="C166" s="10" t="s">
        <v>434</v>
      </c>
      <c r="D166" s="10" t="s">
        <v>427</v>
      </c>
      <c r="E166" s="10" t="s">
        <v>17</v>
      </c>
      <c r="F166" s="11" t="s">
        <v>428</v>
      </c>
      <c r="G166" s="11" t="s">
        <v>53</v>
      </c>
      <c r="H166" s="11" t="n">
        <v>1</v>
      </c>
      <c r="I166" s="11" t="s">
        <v>62</v>
      </c>
      <c r="J166" s="10"/>
      <c r="K166" s="11" t="s">
        <v>50</v>
      </c>
      <c r="L166" s="11" t="s">
        <v>44</v>
      </c>
      <c r="M166" s="11"/>
      <c r="N166" s="11" t="s">
        <v>45</v>
      </c>
      <c r="O166" s="10"/>
    </row>
    <row r="167" customFormat="false" ht="15" hidden="false" customHeight="false" outlineLevel="0" collapsed="false">
      <c r="A167" s="11" t="n">
        <v>166</v>
      </c>
      <c r="B167" s="10" t="s">
        <v>435</v>
      </c>
      <c r="C167" s="10" t="s">
        <v>436</v>
      </c>
      <c r="D167" s="10" t="s">
        <v>437</v>
      </c>
      <c r="E167" s="10" t="s">
        <v>17</v>
      </c>
      <c r="F167" s="11" t="s">
        <v>94</v>
      </c>
      <c r="G167" s="11" t="s">
        <v>41</v>
      </c>
      <c r="H167" s="11" t="n">
        <v>1</v>
      </c>
      <c r="I167" s="11" t="s">
        <v>42</v>
      </c>
      <c r="J167" s="10"/>
      <c r="K167" s="11" t="s">
        <v>43</v>
      </c>
      <c r="L167" s="11" t="s">
        <v>44</v>
      </c>
      <c r="M167" s="11"/>
      <c r="N167" s="11" t="s">
        <v>45</v>
      </c>
      <c r="O167" s="10"/>
    </row>
    <row r="168" customFormat="false" ht="15" hidden="false" customHeight="false" outlineLevel="0" collapsed="false">
      <c r="A168" s="11" t="n">
        <v>167</v>
      </c>
      <c r="B168" s="10" t="s">
        <v>438</v>
      </c>
      <c r="C168" s="10" t="s">
        <v>439</v>
      </c>
      <c r="D168" s="10" t="s">
        <v>437</v>
      </c>
      <c r="E168" s="10" t="s">
        <v>17</v>
      </c>
      <c r="F168" s="11" t="s">
        <v>94</v>
      </c>
      <c r="G168" s="11" t="s">
        <v>48</v>
      </c>
      <c r="H168" s="11" t="n">
        <v>1</v>
      </c>
      <c r="I168" s="11" t="s">
        <v>49</v>
      </c>
      <c r="J168" s="10"/>
      <c r="K168" s="11" t="s">
        <v>50</v>
      </c>
      <c r="L168" s="11" t="s">
        <v>44</v>
      </c>
      <c r="M168" s="11"/>
      <c r="N168" s="11" t="s">
        <v>45</v>
      </c>
      <c r="O168" s="10"/>
    </row>
    <row r="169" customFormat="false" ht="15" hidden="false" customHeight="false" outlineLevel="0" collapsed="false">
      <c r="A169" s="11" t="n">
        <v>168</v>
      </c>
      <c r="B169" s="10" t="s">
        <v>440</v>
      </c>
      <c r="C169" s="10" t="s">
        <v>441</v>
      </c>
      <c r="D169" s="10" t="s">
        <v>437</v>
      </c>
      <c r="E169" s="10" t="s">
        <v>17</v>
      </c>
      <c r="F169" s="11" t="s">
        <v>94</v>
      </c>
      <c r="G169" s="11" t="s">
        <v>53</v>
      </c>
      <c r="H169" s="11" t="n">
        <v>1</v>
      </c>
      <c r="I169" s="11" t="s">
        <v>54</v>
      </c>
      <c r="J169" s="10"/>
      <c r="K169" s="11" t="s">
        <v>55</v>
      </c>
      <c r="L169" s="11" t="s">
        <v>56</v>
      </c>
      <c r="M169" s="11"/>
      <c r="N169" s="11" t="s">
        <v>45</v>
      </c>
      <c r="O169" s="10"/>
    </row>
    <row r="170" customFormat="false" ht="15" hidden="false" customHeight="false" outlineLevel="0" collapsed="false">
      <c r="A170" s="11" t="n">
        <v>169</v>
      </c>
      <c r="B170" s="10" t="s">
        <v>442</v>
      </c>
      <c r="C170" s="10" t="s">
        <v>443</v>
      </c>
      <c r="D170" s="10" t="s">
        <v>437</v>
      </c>
      <c r="E170" s="10" t="s">
        <v>17</v>
      </c>
      <c r="F170" s="11" t="s">
        <v>94</v>
      </c>
      <c r="G170" s="11" t="s">
        <v>41</v>
      </c>
      <c r="H170" s="11" t="n">
        <v>1</v>
      </c>
      <c r="I170" s="11" t="s">
        <v>59</v>
      </c>
      <c r="J170" s="10"/>
      <c r="K170" s="11" t="s">
        <v>55</v>
      </c>
      <c r="L170" s="11" t="s">
        <v>56</v>
      </c>
      <c r="M170" s="11"/>
      <c r="N170" s="11" t="s">
        <v>68</v>
      </c>
      <c r="O170" s="10"/>
    </row>
    <row r="171" customFormat="false" ht="15" hidden="false" customHeight="false" outlineLevel="0" collapsed="false">
      <c r="A171" s="11" t="n">
        <v>170</v>
      </c>
      <c r="B171" s="10" t="s">
        <v>444</v>
      </c>
      <c r="C171" s="10" t="s">
        <v>445</v>
      </c>
      <c r="D171" s="10" t="s">
        <v>437</v>
      </c>
      <c r="E171" s="10" t="s">
        <v>17</v>
      </c>
      <c r="F171" s="11" t="s">
        <v>94</v>
      </c>
      <c r="G171" s="11" t="s">
        <v>48</v>
      </c>
      <c r="H171" s="11" t="n">
        <v>1</v>
      </c>
      <c r="I171" s="11" t="s">
        <v>62</v>
      </c>
      <c r="J171" s="10"/>
      <c r="K171" s="11" t="s">
        <v>50</v>
      </c>
      <c r="L171" s="11" t="s">
        <v>44</v>
      </c>
      <c r="M171" s="11"/>
      <c r="N171" s="11" t="s">
        <v>45</v>
      </c>
      <c r="O171" s="10"/>
    </row>
    <row r="172" customFormat="false" ht="15" hidden="false" customHeight="false" outlineLevel="0" collapsed="false">
      <c r="A172" s="11" t="n">
        <v>171</v>
      </c>
      <c r="B172" s="10" t="s">
        <v>446</v>
      </c>
      <c r="C172" s="10" t="s">
        <v>447</v>
      </c>
      <c r="D172" s="10" t="s">
        <v>437</v>
      </c>
      <c r="E172" s="10" t="s">
        <v>17</v>
      </c>
      <c r="F172" s="11" t="s">
        <v>94</v>
      </c>
      <c r="G172" s="11" t="s">
        <v>53</v>
      </c>
      <c r="H172" s="11" t="n">
        <v>1</v>
      </c>
      <c r="I172" s="11" t="s">
        <v>42</v>
      </c>
      <c r="J172" s="10"/>
      <c r="K172" s="11" t="s">
        <v>43</v>
      </c>
      <c r="L172" s="11" t="s">
        <v>44</v>
      </c>
      <c r="M172" s="11"/>
      <c r="N172" s="11" t="s">
        <v>45</v>
      </c>
      <c r="O172" s="10"/>
    </row>
    <row r="173" customFormat="false" ht="15" hidden="false" customHeight="false" outlineLevel="0" collapsed="false">
      <c r="A173" s="11" t="n">
        <v>172</v>
      </c>
      <c r="B173" s="10" t="s">
        <v>448</v>
      </c>
      <c r="C173" s="10" t="s">
        <v>449</v>
      </c>
      <c r="D173" s="10" t="s">
        <v>450</v>
      </c>
      <c r="E173" s="10" t="s">
        <v>18</v>
      </c>
      <c r="F173" s="11" t="s">
        <v>159</v>
      </c>
      <c r="G173" s="11" t="s">
        <v>41</v>
      </c>
      <c r="H173" s="11" t="n">
        <v>3</v>
      </c>
      <c r="I173" s="11" t="s">
        <v>49</v>
      </c>
      <c r="J173" s="10"/>
      <c r="K173" s="11" t="s">
        <v>50</v>
      </c>
      <c r="L173" s="11" t="s">
        <v>44</v>
      </c>
      <c r="M173" s="11"/>
      <c r="N173" s="11" t="s">
        <v>45</v>
      </c>
      <c r="O173" s="10"/>
    </row>
    <row r="174" customFormat="false" ht="15" hidden="false" customHeight="false" outlineLevel="0" collapsed="false">
      <c r="A174" s="11" t="n">
        <v>173</v>
      </c>
      <c r="B174" s="10" t="s">
        <v>451</v>
      </c>
      <c r="C174" s="10" t="s">
        <v>452</v>
      </c>
      <c r="D174" s="10" t="s">
        <v>450</v>
      </c>
      <c r="E174" s="10" t="s">
        <v>18</v>
      </c>
      <c r="F174" s="11" t="s">
        <v>159</v>
      </c>
      <c r="G174" s="11" t="s">
        <v>48</v>
      </c>
      <c r="H174" s="11" t="n">
        <v>3</v>
      </c>
      <c r="I174" s="11" t="s">
        <v>54</v>
      </c>
      <c r="J174" s="10"/>
      <c r="K174" s="11" t="s">
        <v>55</v>
      </c>
      <c r="L174" s="11" t="s">
        <v>56</v>
      </c>
      <c r="M174" s="11"/>
      <c r="N174" s="11" t="s">
        <v>45</v>
      </c>
      <c r="O174" s="10"/>
    </row>
    <row r="175" customFormat="false" ht="15" hidden="false" customHeight="false" outlineLevel="0" collapsed="false">
      <c r="A175" s="11" t="n">
        <v>174</v>
      </c>
      <c r="B175" s="10" t="s">
        <v>453</v>
      </c>
      <c r="C175" s="10" t="s">
        <v>454</v>
      </c>
      <c r="D175" s="10" t="s">
        <v>450</v>
      </c>
      <c r="E175" s="10" t="s">
        <v>18</v>
      </c>
      <c r="F175" s="11" t="s">
        <v>159</v>
      </c>
      <c r="G175" s="11" t="s">
        <v>53</v>
      </c>
      <c r="H175" s="11" t="n">
        <v>3</v>
      </c>
      <c r="I175" s="11" t="s">
        <v>59</v>
      </c>
      <c r="J175" s="10"/>
      <c r="K175" s="11" t="s">
        <v>55</v>
      </c>
      <c r="L175" s="11" t="s">
        <v>56</v>
      </c>
      <c r="M175" s="11"/>
      <c r="N175" s="11" t="s">
        <v>68</v>
      </c>
      <c r="O175" s="10"/>
    </row>
    <row r="176" customFormat="false" ht="15" hidden="false" customHeight="false" outlineLevel="0" collapsed="false">
      <c r="A176" s="11" t="n">
        <v>175</v>
      </c>
      <c r="B176" s="10" t="s">
        <v>455</v>
      </c>
      <c r="C176" s="10" t="s">
        <v>456</v>
      </c>
      <c r="D176" s="10" t="s">
        <v>457</v>
      </c>
      <c r="E176" s="10" t="s">
        <v>18</v>
      </c>
      <c r="F176" s="11" t="s">
        <v>458</v>
      </c>
      <c r="G176" s="11" t="s">
        <v>41</v>
      </c>
      <c r="H176" s="11" t="n">
        <v>1</v>
      </c>
      <c r="I176" s="11" t="s">
        <v>62</v>
      </c>
      <c r="J176" s="10"/>
      <c r="K176" s="11" t="s">
        <v>50</v>
      </c>
      <c r="L176" s="11" t="s">
        <v>44</v>
      </c>
      <c r="M176" s="11"/>
      <c r="N176" s="11" t="s">
        <v>45</v>
      </c>
      <c r="O176" s="10"/>
    </row>
    <row r="177" customFormat="false" ht="15" hidden="false" customHeight="false" outlineLevel="0" collapsed="false">
      <c r="A177" s="11" t="n">
        <v>176</v>
      </c>
      <c r="B177" s="10" t="s">
        <v>459</v>
      </c>
      <c r="C177" s="10" t="s">
        <v>460</v>
      </c>
      <c r="D177" s="10" t="s">
        <v>457</v>
      </c>
      <c r="E177" s="10" t="s">
        <v>18</v>
      </c>
      <c r="F177" s="11" t="s">
        <v>458</v>
      </c>
      <c r="G177" s="11" t="s">
        <v>48</v>
      </c>
      <c r="H177" s="11" t="n">
        <v>1</v>
      </c>
      <c r="I177" s="11" t="s">
        <v>42</v>
      </c>
      <c r="J177" s="10"/>
      <c r="K177" s="11" t="s">
        <v>43</v>
      </c>
      <c r="L177" s="11" t="s">
        <v>44</v>
      </c>
      <c r="M177" s="11"/>
      <c r="N177" s="11" t="s">
        <v>45</v>
      </c>
      <c r="O177" s="10"/>
    </row>
    <row r="178" customFormat="false" ht="15" hidden="false" customHeight="false" outlineLevel="0" collapsed="false">
      <c r="A178" s="11" t="n">
        <v>177</v>
      </c>
      <c r="B178" s="10" t="s">
        <v>461</v>
      </c>
      <c r="C178" s="10" t="s">
        <v>462</v>
      </c>
      <c r="D178" s="10" t="s">
        <v>457</v>
      </c>
      <c r="E178" s="10" t="s">
        <v>18</v>
      </c>
      <c r="F178" s="11" t="s">
        <v>458</v>
      </c>
      <c r="G178" s="11" t="s">
        <v>53</v>
      </c>
      <c r="H178" s="11" t="n">
        <v>1</v>
      </c>
      <c r="I178" s="11" t="s">
        <v>49</v>
      </c>
      <c r="J178" s="10"/>
      <c r="K178" s="11" t="s">
        <v>50</v>
      </c>
      <c r="L178" s="11" t="s">
        <v>44</v>
      </c>
      <c r="M178" s="11"/>
      <c r="N178" s="11" t="s">
        <v>45</v>
      </c>
      <c r="O178" s="10"/>
    </row>
    <row r="179" customFormat="false" ht="15" hidden="false" customHeight="false" outlineLevel="0" collapsed="false">
      <c r="A179" s="11" t="n">
        <v>178</v>
      </c>
      <c r="B179" s="10" t="s">
        <v>463</v>
      </c>
      <c r="C179" s="10" t="s">
        <v>464</v>
      </c>
      <c r="D179" s="10" t="s">
        <v>457</v>
      </c>
      <c r="E179" s="10" t="s">
        <v>18</v>
      </c>
      <c r="F179" s="11" t="s">
        <v>458</v>
      </c>
      <c r="G179" s="11" t="s">
        <v>41</v>
      </c>
      <c r="H179" s="11" t="n">
        <v>1</v>
      </c>
      <c r="I179" s="11" t="s">
        <v>54</v>
      </c>
      <c r="J179" s="10"/>
      <c r="K179" s="11" t="s">
        <v>55</v>
      </c>
      <c r="L179" s="11" t="s">
        <v>56</v>
      </c>
      <c r="M179" s="11"/>
      <c r="N179" s="11" t="s">
        <v>45</v>
      </c>
      <c r="O179" s="10"/>
    </row>
    <row r="180" customFormat="false" ht="15" hidden="false" customHeight="false" outlineLevel="0" collapsed="false">
      <c r="A180" s="11" t="n">
        <v>179</v>
      </c>
      <c r="B180" s="10" t="s">
        <v>465</v>
      </c>
      <c r="C180" s="10" t="s">
        <v>466</v>
      </c>
      <c r="D180" s="10" t="s">
        <v>457</v>
      </c>
      <c r="E180" s="10" t="s">
        <v>18</v>
      </c>
      <c r="F180" s="11" t="s">
        <v>458</v>
      </c>
      <c r="G180" s="11" t="s">
        <v>48</v>
      </c>
      <c r="H180" s="11" t="n">
        <v>1</v>
      </c>
      <c r="I180" s="11" t="s">
        <v>59</v>
      </c>
      <c r="J180" s="10"/>
      <c r="K180" s="11" t="s">
        <v>55</v>
      </c>
      <c r="L180" s="11" t="s">
        <v>56</v>
      </c>
      <c r="M180" s="11"/>
      <c r="N180" s="11" t="s">
        <v>45</v>
      </c>
      <c r="O180" s="10"/>
    </row>
    <row r="181" customFormat="false" ht="15" hidden="false" customHeight="false" outlineLevel="0" collapsed="false">
      <c r="A181" s="11" t="n">
        <v>180</v>
      </c>
      <c r="B181" s="10" t="s">
        <v>467</v>
      </c>
      <c r="C181" s="10" t="s">
        <v>468</v>
      </c>
      <c r="D181" s="10" t="s">
        <v>457</v>
      </c>
      <c r="E181" s="10" t="s">
        <v>18</v>
      </c>
      <c r="F181" s="11" t="s">
        <v>458</v>
      </c>
      <c r="G181" s="11" t="s">
        <v>53</v>
      </c>
      <c r="H181" s="11" t="n">
        <v>1</v>
      </c>
      <c r="I181" s="11" t="s">
        <v>62</v>
      </c>
      <c r="J181" s="10"/>
      <c r="K181" s="11" t="s">
        <v>50</v>
      </c>
      <c r="L181" s="11" t="s">
        <v>44</v>
      </c>
      <c r="M181" s="11"/>
      <c r="N181" s="11" t="s">
        <v>45</v>
      </c>
      <c r="O181" s="10"/>
    </row>
    <row r="182" customFormat="false" ht="15" hidden="false" customHeight="false" outlineLevel="0" collapsed="false">
      <c r="A182" s="11" t="n">
        <v>181</v>
      </c>
      <c r="B182" s="10" t="s">
        <v>469</v>
      </c>
      <c r="C182" s="10" t="s">
        <v>470</v>
      </c>
      <c r="D182" s="10" t="s">
        <v>457</v>
      </c>
      <c r="E182" s="10" t="s">
        <v>18</v>
      </c>
      <c r="F182" s="11" t="s">
        <v>458</v>
      </c>
      <c r="G182" s="11" t="s">
        <v>41</v>
      </c>
      <c r="H182" s="11" t="n">
        <v>1</v>
      </c>
      <c r="I182" s="11" t="s">
        <v>42</v>
      </c>
      <c r="J182" s="10"/>
      <c r="K182" s="11" t="s">
        <v>43</v>
      </c>
      <c r="L182" s="11" t="s">
        <v>44</v>
      </c>
      <c r="M182" s="11"/>
      <c r="N182" s="11" t="s">
        <v>45</v>
      </c>
      <c r="O182" s="10"/>
    </row>
    <row r="183" customFormat="false" ht="15" hidden="false" customHeight="false" outlineLevel="0" collapsed="false">
      <c r="A183" s="11" t="n">
        <v>182</v>
      </c>
      <c r="B183" s="10" t="s">
        <v>471</v>
      </c>
      <c r="C183" s="10" t="s">
        <v>472</v>
      </c>
      <c r="D183" s="10" t="s">
        <v>473</v>
      </c>
      <c r="E183" s="10" t="s">
        <v>19</v>
      </c>
      <c r="F183" s="11" t="s">
        <v>151</v>
      </c>
      <c r="G183" s="11" t="s">
        <v>48</v>
      </c>
      <c r="H183" s="11" t="n">
        <v>1</v>
      </c>
      <c r="I183" s="11" t="s">
        <v>49</v>
      </c>
      <c r="J183" s="10"/>
      <c r="K183" s="11" t="s">
        <v>50</v>
      </c>
      <c r="L183" s="11" t="s">
        <v>44</v>
      </c>
      <c r="M183" s="11"/>
      <c r="N183" s="11" t="s">
        <v>45</v>
      </c>
      <c r="O183" s="10"/>
    </row>
    <row r="184" customFormat="false" ht="15" hidden="false" customHeight="false" outlineLevel="0" collapsed="false">
      <c r="A184" s="11" t="n">
        <v>183</v>
      </c>
      <c r="B184" s="10" t="s">
        <v>474</v>
      </c>
      <c r="C184" s="10" t="s">
        <v>475</v>
      </c>
      <c r="D184" s="10" t="s">
        <v>473</v>
      </c>
      <c r="E184" s="10" t="s">
        <v>19</v>
      </c>
      <c r="F184" s="11" t="s">
        <v>151</v>
      </c>
      <c r="G184" s="11" t="s">
        <v>53</v>
      </c>
      <c r="H184" s="11" t="n">
        <v>1</v>
      </c>
      <c r="I184" s="11" t="s">
        <v>54</v>
      </c>
      <c r="J184" s="10"/>
      <c r="K184" s="11" t="s">
        <v>55</v>
      </c>
      <c r="L184" s="11" t="s">
        <v>56</v>
      </c>
      <c r="M184" s="11"/>
      <c r="N184" s="11" t="s">
        <v>45</v>
      </c>
      <c r="O184" s="10"/>
    </row>
    <row r="185" customFormat="false" ht="15" hidden="false" customHeight="false" outlineLevel="0" collapsed="false">
      <c r="A185" s="11" t="n">
        <v>184</v>
      </c>
      <c r="B185" s="10" t="s">
        <v>476</v>
      </c>
      <c r="C185" s="10" t="s">
        <v>477</v>
      </c>
      <c r="D185" s="10" t="s">
        <v>473</v>
      </c>
      <c r="E185" s="10" t="s">
        <v>19</v>
      </c>
      <c r="F185" s="11" t="s">
        <v>151</v>
      </c>
      <c r="G185" s="11" t="s">
        <v>41</v>
      </c>
      <c r="H185" s="11" t="n">
        <v>1</v>
      </c>
      <c r="I185" s="11" t="s">
        <v>59</v>
      </c>
      <c r="J185" s="10"/>
      <c r="K185" s="11" t="s">
        <v>55</v>
      </c>
      <c r="L185" s="11" t="s">
        <v>56</v>
      </c>
      <c r="M185" s="11"/>
      <c r="N185" s="11" t="s">
        <v>45</v>
      </c>
      <c r="O185" s="10"/>
    </row>
    <row r="186" customFormat="false" ht="15" hidden="false" customHeight="false" outlineLevel="0" collapsed="false">
      <c r="A186" s="11" t="n">
        <v>185</v>
      </c>
      <c r="B186" s="10" t="s">
        <v>478</v>
      </c>
      <c r="C186" s="10" t="s">
        <v>479</v>
      </c>
      <c r="D186" s="10" t="s">
        <v>473</v>
      </c>
      <c r="E186" s="10" t="s">
        <v>19</v>
      </c>
      <c r="F186" s="11" t="s">
        <v>151</v>
      </c>
      <c r="G186" s="11" t="s">
        <v>48</v>
      </c>
      <c r="H186" s="11" t="n">
        <v>1</v>
      </c>
      <c r="I186" s="11" t="s">
        <v>62</v>
      </c>
      <c r="J186" s="10"/>
      <c r="K186" s="11" t="s">
        <v>50</v>
      </c>
      <c r="L186" s="11" t="s">
        <v>44</v>
      </c>
      <c r="M186" s="11"/>
      <c r="N186" s="11" t="s">
        <v>45</v>
      </c>
      <c r="O186" s="10"/>
    </row>
    <row r="187" customFormat="false" ht="23.85" hidden="false" customHeight="false" outlineLevel="0" collapsed="false">
      <c r="A187" s="11" t="n">
        <v>186</v>
      </c>
      <c r="B187" s="10" t="s">
        <v>480</v>
      </c>
      <c r="C187" s="10" t="s">
        <v>481</v>
      </c>
      <c r="D187" s="10" t="s">
        <v>482</v>
      </c>
      <c r="E187" s="10" t="s">
        <v>19</v>
      </c>
      <c r="F187" s="11" t="s">
        <v>325</v>
      </c>
      <c r="G187" s="11" t="s">
        <v>53</v>
      </c>
      <c r="H187" s="11" t="n">
        <v>3</v>
      </c>
      <c r="I187" s="11" t="s">
        <v>42</v>
      </c>
      <c r="J187" s="10"/>
      <c r="K187" s="11" t="s">
        <v>43</v>
      </c>
      <c r="L187" s="11" t="s">
        <v>44</v>
      </c>
      <c r="M187" s="11"/>
      <c r="N187" s="11" t="s">
        <v>45</v>
      </c>
      <c r="O187" s="10"/>
    </row>
    <row r="188" customFormat="false" ht="23.85" hidden="false" customHeight="false" outlineLevel="0" collapsed="false">
      <c r="A188" s="11" t="n">
        <v>187</v>
      </c>
      <c r="B188" s="10" t="s">
        <v>483</v>
      </c>
      <c r="C188" s="10" t="s">
        <v>484</v>
      </c>
      <c r="D188" s="10" t="s">
        <v>482</v>
      </c>
      <c r="E188" s="10" t="s">
        <v>19</v>
      </c>
      <c r="F188" s="11" t="s">
        <v>325</v>
      </c>
      <c r="G188" s="11" t="s">
        <v>41</v>
      </c>
      <c r="H188" s="11" t="n">
        <v>3</v>
      </c>
      <c r="I188" s="11" t="s">
        <v>49</v>
      </c>
      <c r="J188" s="10"/>
      <c r="K188" s="11" t="s">
        <v>50</v>
      </c>
      <c r="L188" s="11" t="s">
        <v>44</v>
      </c>
      <c r="M188" s="11"/>
      <c r="N188" s="11" t="s">
        <v>45</v>
      </c>
      <c r="O188" s="10"/>
    </row>
    <row r="189" customFormat="false" ht="15" hidden="false" customHeight="false" outlineLevel="0" collapsed="false">
      <c r="A189" s="11" t="n">
        <v>188</v>
      </c>
      <c r="B189" s="10" t="s">
        <v>485</v>
      </c>
      <c r="C189" s="10" t="s">
        <v>486</v>
      </c>
      <c r="D189" s="10" t="s">
        <v>482</v>
      </c>
      <c r="E189" s="10" t="s">
        <v>19</v>
      </c>
      <c r="F189" s="11" t="s">
        <v>325</v>
      </c>
      <c r="G189" s="11" t="s">
        <v>48</v>
      </c>
      <c r="H189" s="11" t="n">
        <v>3</v>
      </c>
      <c r="I189" s="11" t="s">
        <v>54</v>
      </c>
      <c r="J189" s="10"/>
      <c r="K189" s="11" t="s">
        <v>55</v>
      </c>
      <c r="L189" s="11" t="s">
        <v>56</v>
      </c>
      <c r="M189" s="11"/>
      <c r="N189" s="11" t="s">
        <v>45</v>
      </c>
      <c r="O189" s="10"/>
    </row>
    <row r="190" customFormat="false" ht="15" hidden="false" customHeight="false" outlineLevel="0" collapsed="false">
      <c r="A190" s="11" t="n">
        <v>189</v>
      </c>
      <c r="B190" s="10" t="s">
        <v>487</v>
      </c>
      <c r="C190" s="10" t="s">
        <v>488</v>
      </c>
      <c r="D190" s="10" t="s">
        <v>489</v>
      </c>
      <c r="E190" s="10" t="s">
        <v>19</v>
      </c>
      <c r="F190" s="11" t="s">
        <v>276</v>
      </c>
      <c r="G190" s="11" t="s">
        <v>53</v>
      </c>
      <c r="H190" s="11" t="n">
        <v>1</v>
      </c>
      <c r="I190" s="11" t="s">
        <v>59</v>
      </c>
      <c r="J190" s="10"/>
      <c r="K190" s="11" t="s">
        <v>55</v>
      </c>
      <c r="L190" s="11" t="s">
        <v>56</v>
      </c>
      <c r="M190" s="11"/>
      <c r="N190" s="11" t="s">
        <v>45</v>
      </c>
      <c r="O190" s="10"/>
    </row>
    <row r="191" customFormat="false" ht="15" hidden="false" customHeight="false" outlineLevel="0" collapsed="false">
      <c r="A191" s="11" t="n">
        <v>190</v>
      </c>
      <c r="B191" s="10" t="s">
        <v>490</v>
      </c>
      <c r="C191" s="10" t="s">
        <v>491</v>
      </c>
      <c r="D191" s="10" t="s">
        <v>489</v>
      </c>
      <c r="E191" s="10" t="s">
        <v>19</v>
      </c>
      <c r="F191" s="11" t="s">
        <v>276</v>
      </c>
      <c r="G191" s="11" t="s">
        <v>41</v>
      </c>
      <c r="H191" s="11" t="n">
        <v>1</v>
      </c>
      <c r="I191" s="11" t="s">
        <v>62</v>
      </c>
      <c r="J191" s="10"/>
      <c r="K191" s="11" t="s">
        <v>50</v>
      </c>
      <c r="L191" s="11" t="s">
        <v>44</v>
      </c>
      <c r="M191" s="11"/>
      <c r="N191" s="11" t="s">
        <v>45</v>
      </c>
      <c r="O191" s="10"/>
    </row>
    <row r="192" customFormat="false" ht="15" hidden="false" customHeight="false" outlineLevel="0" collapsed="false">
      <c r="A192" s="11" t="n">
        <v>191</v>
      </c>
      <c r="B192" s="10" t="s">
        <v>492</v>
      </c>
      <c r="C192" s="10" t="s">
        <v>493</v>
      </c>
      <c r="D192" s="10" t="s">
        <v>489</v>
      </c>
      <c r="E192" s="10" t="s">
        <v>19</v>
      </c>
      <c r="F192" s="11" t="s">
        <v>276</v>
      </c>
      <c r="G192" s="11" t="s">
        <v>48</v>
      </c>
      <c r="H192" s="11" t="n">
        <v>1</v>
      </c>
      <c r="I192" s="11" t="s">
        <v>42</v>
      </c>
      <c r="J192" s="10"/>
      <c r="K192" s="11" t="s">
        <v>43</v>
      </c>
      <c r="L192" s="11" t="s">
        <v>44</v>
      </c>
      <c r="M192" s="11"/>
      <c r="N192" s="11" t="s">
        <v>68</v>
      </c>
      <c r="O192" s="10"/>
    </row>
    <row r="193" customFormat="false" ht="15" hidden="false" customHeight="false" outlineLevel="0" collapsed="false">
      <c r="A193" s="11" t="n">
        <v>192</v>
      </c>
      <c r="B193" s="10" t="s">
        <v>494</v>
      </c>
      <c r="C193" s="10" t="s">
        <v>495</v>
      </c>
      <c r="D193" s="10" t="s">
        <v>496</v>
      </c>
      <c r="E193" s="10" t="s">
        <v>14</v>
      </c>
      <c r="F193" s="11" t="s">
        <v>276</v>
      </c>
      <c r="G193" s="11" t="s">
        <v>53</v>
      </c>
      <c r="H193" s="11" t="n">
        <v>1</v>
      </c>
      <c r="I193" s="11" t="s">
        <v>49</v>
      </c>
      <c r="J193" s="10"/>
      <c r="K193" s="11" t="s">
        <v>50</v>
      </c>
      <c r="L193" s="11" t="s">
        <v>44</v>
      </c>
      <c r="M193" s="11"/>
      <c r="N193" s="11" t="s">
        <v>45</v>
      </c>
      <c r="O193" s="10"/>
    </row>
    <row r="194" customFormat="false" ht="15" hidden="false" customHeight="false" outlineLevel="0" collapsed="false">
      <c r="A194" s="11" t="n">
        <v>193</v>
      </c>
      <c r="B194" s="10" t="s">
        <v>497</v>
      </c>
      <c r="C194" s="10" t="s">
        <v>498</v>
      </c>
      <c r="D194" s="10" t="s">
        <v>496</v>
      </c>
      <c r="E194" s="10" t="s">
        <v>14</v>
      </c>
      <c r="F194" s="11" t="s">
        <v>276</v>
      </c>
      <c r="G194" s="11" t="s">
        <v>41</v>
      </c>
      <c r="H194" s="11" t="n">
        <v>1</v>
      </c>
      <c r="I194" s="11" t="s">
        <v>54</v>
      </c>
      <c r="J194" s="10"/>
      <c r="K194" s="11" t="s">
        <v>55</v>
      </c>
      <c r="L194" s="11" t="s">
        <v>56</v>
      </c>
      <c r="M194" s="11"/>
      <c r="N194" s="11" t="s">
        <v>45</v>
      </c>
      <c r="O194" s="10"/>
    </row>
    <row r="195" customFormat="false" ht="15" hidden="false" customHeight="false" outlineLevel="0" collapsed="false">
      <c r="A195" s="11" t="n">
        <v>194</v>
      </c>
      <c r="B195" s="10" t="s">
        <v>499</v>
      </c>
      <c r="C195" s="10" t="s">
        <v>500</v>
      </c>
      <c r="D195" s="10" t="s">
        <v>496</v>
      </c>
      <c r="E195" s="10" t="s">
        <v>14</v>
      </c>
      <c r="F195" s="11" t="s">
        <v>276</v>
      </c>
      <c r="G195" s="11" t="s">
        <v>48</v>
      </c>
      <c r="H195" s="11" t="n">
        <v>1</v>
      </c>
      <c r="I195" s="11" t="s">
        <v>59</v>
      </c>
      <c r="J195" s="10"/>
      <c r="K195" s="11" t="s">
        <v>55</v>
      </c>
      <c r="L195" s="11" t="s">
        <v>56</v>
      </c>
      <c r="M195" s="11"/>
      <c r="N195" s="11" t="s">
        <v>45</v>
      </c>
      <c r="O195" s="10"/>
    </row>
    <row r="196" customFormat="false" ht="15" hidden="false" customHeight="false" outlineLevel="0" collapsed="false">
      <c r="A196" s="11" t="n">
        <v>195</v>
      </c>
      <c r="B196" s="10" t="s">
        <v>501</v>
      </c>
      <c r="C196" s="10" t="s">
        <v>502</v>
      </c>
      <c r="D196" s="10" t="s">
        <v>496</v>
      </c>
      <c r="E196" s="10" t="s">
        <v>14</v>
      </c>
      <c r="F196" s="11" t="s">
        <v>276</v>
      </c>
      <c r="G196" s="11" t="s">
        <v>53</v>
      </c>
      <c r="H196" s="11" t="n">
        <v>1</v>
      </c>
      <c r="I196" s="11" t="s">
        <v>62</v>
      </c>
      <c r="J196" s="10"/>
      <c r="K196" s="11" t="s">
        <v>50</v>
      </c>
      <c r="L196" s="11" t="s">
        <v>44</v>
      </c>
      <c r="M196" s="11"/>
      <c r="N196" s="11" t="s">
        <v>45</v>
      </c>
      <c r="O196" s="10"/>
    </row>
    <row r="197" customFormat="false" ht="15" hidden="false" customHeight="false" outlineLevel="0" collapsed="false">
      <c r="A197" s="11" t="n">
        <v>196</v>
      </c>
      <c r="B197" s="10" t="s">
        <v>503</v>
      </c>
      <c r="C197" s="10" t="s">
        <v>504</v>
      </c>
      <c r="D197" s="10" t="s">
        <v>496</v>
      </c>
      <c r="E197" s="10" t="s">
        <v>14</v>
      </c>
      <c r="F197" s="11" t="s">
        <v>276</v>
      </c>
      <c r="G197" s="11" t="s">
        <v>41</v>
      </c>
      <c r="H197" s="11" t="n">
        <v>1</v>
      </c>
      <c r="I197" s="11" t="s">
        <v>42</v>
      </c>
      <c r="J197" s="10"/>
      <c r="K197" s="11" t="s">
        <v>43</v>
      </c>
      <c r="L197" s="11" t="s">
        <v>44</v>
      </c>
      <c r="M197" s="11"/>
      <c r="N197" s="11" t="s">
        <v>68</v>
      </c>
      <c r="O197" s="10"/>
    </row>
    <row r="198" customFormat="false" ht="15" hidden="false" customHeight="false" outlineLevel="0" collapsed="false">
      <c r="A198" s="11" t="n">
        <v>197</v>
      </c>
      <c r="B198" s="10" t="s">
        <v>505</v>
      </c>
      <c r="C198" s="10" t="s">
        <v>506</v>
      </c>
      <c r="D198" s="10" t="s">
        <v>496</v>
      </c>
      <c r="E198" s="10" t="s">
        <v>14</v>
      </c>
      <c r="F198" s="11" t="s">
        <v>276</v>
      </c>
      <c r="G198" s="11" t="s">
        <v>48</v>
      </c>
      <c r="H198" s="11" t="n">
        <v>1</v>
      </c>
      <c r="I198" s="11" t="s">
        <v>49</v>
      </c>
      <c r="J198" s="10"/>
      <c r="K198" s="11" t="s">
        <v>50</v>
      </c>
      <c r="L198" s="11" t="s">
        <v>44</v>
      </c>
      <c r="M198" s="11"/>
      <c r="N198" s="11" t="s">
        <v>68</v>
      </c>
      <c r="O198" s="10"/>
    </row>
    <row r="199" customFormat="false" ht="15" hidden="false" customHeight="false" outlineLevel="0" collapsed="false">
      <c r="A199" s="11" t="n">
        <v>198</v>
      </c>
      <c r="B199" s="10" t="s">
        <v>507</v>
      </c>
      <c r="C199" s="10" t="s">
        <v>508</v>
      </c>
      <c r="D199" s="10" t="s">
        <v>496</v>
      </c>
      <c r="E199" s="10" t="s">
        <v>14</v>
      </c>
      <c r="F199" s="11" t="s">
        <v>276</v>
      </c>
      <c r="G199" s="11" t="s">
        <v>53</v>
      </c>
      <c r="H199" s="11" t="n">
        <v>1</v>
      </c>
      <c r="I199" s="11" t="s">
        <v>54</v>
      </c>
      <c r="J199" s="10"/>
      <c r="K199" s="11" t="s">
        <v>55</v>
      </c>
      <c r="L199" s="11" t="s">
        <v>56</v>
      </c>
      <c r="M199" s="11"/>
      <c r="N199" s="11" t="s">
        <v>45</v>
      </c>
      <c r="O199" s="10"/>
    </row>
    <row r="200" customFormat="false" ht="15" hidden="false" customHeight="false" outlineLevel="0" collapsed="false">
      <c r="A200" s="11" t="n">
        <v>199</v>
      </c>
      <c r="B200" s="10" t="s">
        <v>509</v>
      </c>
      <c r="C200" s="10" t="s">
        <v>510</v>
      </c>
      <c r="D200" s="10" t="s">
        <v>511</v>
      </c>
      <c r="E200" s="10" t="s">
        <v>14</v>
      </c>
      <c r="F200" s="11" t="s">
        <v>276</v>
      </c>
      <c r="G200" s="11" t="s">
        <v>41</v>
      </c>
      <c r="H200" s="11" t="n">
        <v>1</v>
      </c>
      <c r="I200" s="11" t="s">
        <v>59</v>
      </c>
      <c r="J200" s="10"/>
      <c r="K200" s="11" t="s">
        <v>55</v>
      </c>
      <c r="L200" s="11" t="s">
        <v>56</v>
      </c>
      <c r="M200" s="11"/>
      <c r="N200" s="11" t="s">
        <v>45</v>
      </c>
      <c r="O200" s="10"/>
    </row>
    <row r="201" customFormat="false" ht="15" hidden="false" customHeight="false" outlineLevel="0" collapsed="false">
      <c r="A201" s="11" t="n">
        <v>200</v>
      </c>
      <c r="B201" s="10" t="s">
        <v>512</v>
      </c>
      <c r="C201" s="10" t="s">
        <v>513</v>
      </c>
      <c r="D201" s="10" t="s">
        <v>511</v>
      </c>
      <c r="E201" s="10" t="s">
        <v>14</v>
      </c>
      <c r="F201" s="11" t="s">
        <v>276</v>
      </c>
      <c r="G201" s="11" t="s">
        <v>48</v>
      </c>
      <c r="H201" s="11" t="n">
        <v>1</v>
      </c>
      <c r="I201" s="11" t="s">
        <v>62</v>
      </c>
      <c r="J201" s="10"/>
      <c r="K201" s="11" t="s">
        <v>50</v>
      </c>
      <c r="L201" s="11" t="s">
        <v>44</v>
      </c>
      <c r="M201" s="11"/>
      <c r="N201" s="11" t="s">
        <v>68</v>
      </c>
      <c r="O201" s="10"/>
    </row>
    <row r="202" customFormat="false" ht="15" hidden="false" customHeight="false" outlineLevel="0" collapsed="false">
      <c r="A202" s="11" t="n">
        <v>201</v>
      </c>
      <c r="B202" s="10" t="s">
        <v>514</v>
      </c>
      <c r="C202" s="10" t="s">
        <v>515</v>
      </c>
      <c r="D202" s="10" t="s">
        <v>511</v>
      </c>
      <c r="E202" s="10" t="s">
        <v>14</v>
      </c>
      <c r="F202" s="11" t="s">
        <v>276</v>
      </c>
      <c r="G202" s="11" t="s">
        <v>53</v>
      </c>
      <c r="H202" s="11" t="n">
        <v>1</v>
      </c>
      <c r="I202" s="11" t="s">
        <v>42</v>
      </c>
      <c r="J202" s="10"/>
      <c r="K202" s="11" t="s">
        <v>43</v>
      </c>
      <c r="L202" s="11" t="s">
        <v>44</v>
      </c>
      <c r="M202" s="11"/>
      <c r="N202" s="11" t="s">
        <v>45</v>
      </c>
      <c r="O202" s="10"/>
    </row>
    <row r="203" customFormat="false" ht="15" hidden="false" customHeight="false" outlineLevel="0" collapsed="false">
      <c r="A203" s="11" t="n">
        <v>202</v>
      </c>
      <c r="B203" s="10" t="s">
        <v>516</v>
      </c>
      <c r="C203" s="10" t="s">
        <v>517</v>
      </c>
      <c r="D203" s="10" t="s">
        <v>511</v>
      </c>
      <c r="E203" s="10" t="s">
        <v>14</v>
      </c>
      <c r="F203" s="11" t="s">
        <v>276</v>
      </c>
      <c r="G203" s="11" t="s">
        <v>41</v>
      </c>
      <c r="H203" s="11" t="n">
        <v>1</v>
      </c>
      <c r="I203" s="11" t="s">
        <v>49</v>
      </c>
      <c r="J203" s="10"/>
      <c r="K203" s="11" t="s">
        <v>50</v>
      </c>
      <c r="L203" s="11" t="s">
        <v>44</v>
      </c>
      <c r="M203" s="11"/>
      <c r="N203" s="11" t="s">
        <v>68</v>
      </c>
      <c r="O203" s="10"/>
    </row>
    <row r="204" customFormat="false" ht="15" hidden="false" customHeight="false" outlineLevel="0" collapsed="false">
      <c r="A204" s="11" t="n">
        <v>203</v>
      </c>
      <c r="B204" s="10" t="s">
        <v>518</v>
      </c>
      <c r="C204" s="10" t="s">
        <v>519</v>
      </c>
      <c r="D204" s="10" t="s">
        <v>520</v>
      </c>
      <c r="E204" s="10" t="s">
        <v>14</v>
      </c>
      <c r="F204" s="11" t="s">
        <v>276</v>
      </c>
      <c r="G204" s="11" t="s">
        <v>48</v>
      </c>
      <c r="H204" s="11" t="n">
        <v>1</v>
      </c>
      <c r="I204" s="11" t="s">
        <v>54</v>
      </c>
      <c r="J204" s="10"/>
      <c r="K204" s="11" t="s">
        <v>55</v>
      </c>
      <c r="L204" s="11" t="s">
        <v>56</v>
      </c>
      <c r="M204" s="11"/>
      <c r="N204" s="11" t="s">
        <v>45</v>
      </c>
      <c r="O204" s="10"/>
    </row>
    <row r="205" customFormat="false" ht="15" hidden="false" customHeight="false" outlineLevel="0" collapsed="false">
      <c r="A205" s="11" t="n">
        <v>204</v>
      </c>
      <c r="B205" s="10" t="s">
        <v>521</v>
      </c>
      <c r="C205" s="10" t="s">
        <v>522</v>
      </c>
      <c r="D205" s="10" t="s">
        <v>520</v>
      </c>
      <c r="E205" s="10" t="s">
        <v>14</v>
      </c>
      <c r="F205" s="11" t="s">
        <v>276</v>
      </c>
      <c r="G205" s="11" t="s">
        <v>53</v>
      </c>
      <c r="H205" s="11" t="n">
        <v>1</v>
      </c>
      <c r="I205" s="11" t="s">
        <v>59</v>
      </c>
      <c r="J205" s="10"/>
      <c r="K205" s="11" t="s">
        <v>55</v>
      </c>
      <c r="L205" s="11" t="s">
        <v>56</v>
      </c>
      <c r="M205" s="11"/>
      <c r="N205" s="11" t="s">
        <v>68</v>
      </c>
      <c r="O205" s="10"/>
    </row>
    <row r="206" customFormat="false" ht="15" hidden="false" customHeight="false" outlineLevel="0" collapsed="false">
      <c r="A206" s="11" t="n">
        <v>205</v>
      </c>
      <c r="B206" s="10" t="s">
        <v>523</v>
      </c>
      <c r="C206" s="10" t="s">
        <v>524</v>
      </c>
      <c r="D206" s="10" t="s">
        <v>520</v>
      </c>
      <c r="E206" s="10" t="s">
        <v>14</v>
      </c>
      <c r="F206" s="11" t="s">
        <v>276</v>
      </c>
      <c r="G206" s="11" t="s">
        <v>41</v>
      </c>
      <c r="H206" s="11" t="n">
        <v>1</v>
      </c>
      <c r="I206" s="11" t="s">
        <v>62</v>
      </c>
      <c r="J206" s="10"/>
      <c r="K206" s="11" t="s">
        <v>50</v>
      </c>
      <c r="L206" s="11" t="s">
        <v>44</v>
      </c>
      <c r="M206" s="11"/>
      <c r="N206" s="11" t="s">
        <v>45</v>
      </c>
      <c r="O206" s="10"/>
    </row>
    <row r="207" customFormat="false" ht="15" hidden="false" customHeight="false" outlineLevel="0" collapsed="false">
      <c r="A207" s="11" t="n">
        <v>206</v>
      </c>
      <c r="B207" s="10" t="s">
        <v>525</v>
      </c>
      <c r="C207" s="10" t="s">
        <v>526</v>
      </c>
      <c r="D207" s="10" t="s">
        <v>520</v>
      </c>
      <c r="E207" s="10" t="s">
        <v>14</v>
      </c>
      <c r="F207" s="11" t="s">
        <v>276</v>
      </c>
      <c r="G207" s="11" t="s">
        <v>48</v>
      </c>
      <c r="H207" s="11" t="n">
        <v>1</v>
      </c>
      <c r="I207" s="11" t="s">
        <v>42</v>
      </c>
      <c r="J207" s="10"/>
      <c r="K207" s="11" t="s">
        <v>43</v>
      </c>
      <c r="L207" s="11" t="s">
        <v>44</v>
      </c>
      <c r="M207" s="11"/>
      <c r="N207" s="11" t="s">
        <v>45</v>
      </c>
      <c r="O207" s="10"/>
    </row>
    <row r="208" customFormat="false" ht="15" hidden="false" customHeight="false" outlineLevel="0" collapsed="false">
      <c r="A208" s="11" t="n">
        <v>207</v>
      </c>
      <c r="B208" s="10" t="s">
        <v>527</v>
      </c>
      <c r="C208" s="10" t="s">
        <v>528</v>
      </c>
      <c r="D208" s="10" t="s">
        <v>520</v>
      </c>
      <c r="E208" s="10" t="s">
        <v>14</v>
      </c>
      <c r="F208" s="11" t="s">
        <v>276</v>
      </c>
      <c r="G208" s="11" t="s">
        <v>53</v>
      </c>
      <c r="H208" s="11" t="n">
        <v>1</v>
      </c>
      <c r="I208" s="11" t="s">
        <v>49</v>
      </c>
      <c r="J208" s="10"/>
      <c r="K208" s="11" t="s">
        <v>50</v>
      </c>
      <c r="L208" s="11" t="s">
        <v>44</v>
      </c>
      <c r="M208" s="11"/>
      <c r="N208" s="11" t="s">
        <v>45</v>
      </c>
      <c r="O208" s="10"/>
    </row>
    <row r="209" customFormat="false" ht="15" hidden="false" customHeight="false" outlineLevel="0" collapsed="false">
      <c r="A209" s="11" t="n">
        <v>208</v>
      </c>
      <c r="B209" s="10" t="s">
        <v>529</v>
      </c>
      <c r="C209" s="10" t="s">
        <v>530</v>
      </c>
      <c r="D209" s="10" t="s">
        <v>531</v>
      </c>
      <c r="E209" s="10" t="s">
        <v>13</v>
      </c>
      <c r="F209" s="11" t="s">
        <v>276</v>
      </c>
      <c r="G209" s="11" t="s">
        <v>41</v>
      </c>
      <c r="H209" s="11" t="n">
        <v>1</v>
      </c>
      <c r="I209" s="11" t="s">
        <v>54</v>
      </c>
      <c r="J209" s="10"/>
      <c r="K209" s="11" t="s">
        <v>55</v>
      </c>
      <c r="L209" s="11" t="s">
        <v>56</v>
      </c>
      <c r="M209" s="11"/>
      <c r="N209" s="11" t="s">
        <v>45</v>
      </c>
      <c r="O209" s="10"/>
    </row>
    <row r="210" customFormat="false" ht="15" hidden="false" customHeight="false" outlineLevel="0" collapsed="false">
      <c r="A210" s="11" t="n">
        <v>209</v>
      </c>
      <c r="B210" s="10" t="s">
        <v>532</v>
      </c>
      <c r="C210" s="10" t="s">
        <v>533</v>
      </c>
      <c r="D210" s="10" t="s">
        <v>531</v>
      </c>
      <c r="E210" s="10" t="s">
        <v>13</v>
      </c>
      <c r="F210" s="11" t="s">
        <v>276</v>
      </c>
      <c r="G210" s="11" t="s">
        <v>48</v>
      </c>
      <c r="H210" s="11" t="n">
        <v>1</v>
      </c>
      <c r="I210" s="11" t="s">
        <v>59</v>
      </c>
      <c r="J210" s="10"/>
      <c r="K210" s="11" t="s">
        <v>55</v>
      </c>
      <c r="L210" s="11" t="s">
        <v>56</v>
      </c>
      <c r="M210" s="11"/>
      <c r="N210" s="11" t="s">
        <v>45</v>
      </c>
      <c r="O210" s="10"/>
    </row>
    <row r="211" customFormat="false" ht="15" hidden="false" customHeight="false" outlineLevel="0" collapsed="false">
      <c r="A211" s="11" t="n">
        <v>210</v>
      </c>
      <c r="B211" s="10" t="s">
        <v>534</v>
      </c>
      <c r="C211" s="10" t="s">
        <v>535</v>
      </c>
      <c r="D211" s="10" t="s">
        <v>531</v>
      </c>
      <c r="E211" s="10" t="s">
        <v>13</v>
      </c>
      <c r="F211" s="11" t="s">
        <v>276</v>
      </c>
      <c r="G211" s="11" t="s">
        <v>53</v>
      </c>
      <c r="H211" s="11" t="n">
        <v>1</v>
      </c>
      <c r="I211" s="11" t="s">
        <v>62</v>
      </c>
      <c r="J211" s="10"/>
      <c r="K211" s="11" t="s">
        <v>50</v>
      </c>
      <c r="L211" s="11" t="s">
        <v>44</v>
      </c>
      <c r="M211" s="11"/>
      <c r="N211" s="11" t="s">
        <v>45</v>
      </c>
      <c r="O211" s="10"/>
    </row>
    <row r="212" customFormat="false" ht="15" hidden="false" customHeight="false" outlineLevel="0" collapsed="false">
      <c r="A212" s="11" t="n">
        <v>211</v>
      </c>
      <c r="B212" s="10" t="s">
        <v>536</v>
      </c>
      <c r="C212" s="10" t="s">
        <v>537</v>
      </c>
      <c r="D212" s="10" t="s">
        <v>531</v>
      </c>
      <c r="E212" s="10" t="s">
        <v>13</v>
      </c>
      <c r="F212" s="11" t="s">
        <v>276</v>
      </c>
      <c r="G212" s="11" t="s">
        <v>41</v>
      </c>
      <c r="H212" s="11" t="n">
        <v>1</v>
      </c>
      <c r="I212" s="11" t="s">
        <v>42</v>
      </c>
      <c r="J212" s="10"/>
      <c r="K212" s="11" t="s">
        <v>43</v>
      </c>
      <c r="L212" s="11" t="s">
        <v>44</v>
      </c>
      <c r="M212" s="11"/>
      <c r="N212" s="11" t="s">
        <v>45</v>
      </c>
      <c r="O212" s="10"/>
    </row>
    <row r="213" customFormat="false" ht="15" hidden="false" customHeight="false" outlineLevel="0" collapsed="false">
      <c r="A213" s="11" t="n">
        <v>212</v>
      </c>
      <c r="B213" s="10" t="s">
        <v>538</v>
      </c>
      <c r="C213" s="10" t="s">
        <v>539</v>
      </c>
      <c r="D213" s="10" t="s">
        <v>540</v>
      </c>
      <c r="E213" s="10" t="s">
        <v>14</v>
      </c>
      <c r="F213" s="11" t="s">
        <v>276</v>
      </c>
      <c r="G213" s="11" t="s">
        <v>48</v>
      </c>
      <c r="H213" s="11" t="n">
        <v>1</v>
      </c>
      <c r="I213" s="11" t="s">
        <v>49</v>
      </c>
      <c r="J213" s="10"/>
      <c r="K213" s="11" t="s">
        <v>50</v>
      </c>
      <c r="L213" s="11" t="s">
        <v>44</v>
      </c>
      <c r="M213" s="11"/>
      <c r="N213" s="11" t="s">
        <v>45</v>
      </c>
      <c r="O213" s="10"/>
    </row>
    <row r="214" customFormat="false" ht="15" hidden="false" customHeight="false" outlineLevel="0" collapsed="false">
      <c r="A214" s="11" t="n">
        <v>213</v>
      </c>
      <c r="B214" s="10" t="s">
        <v>541</v>
      </c>
      <c r="C214" s="10" t="s">
        <v>542</v>
      </c>
      <c r="D214" s="10" t="s">
        <v>540</v>
      </c>
      <c r="E214" s="10" t="s">
        <v>14</v>
      </c>
      <c r="F214" s="11" t="s">
        <v>276</v>
      </c>
      <c r="G214" s="11" t="s">
        <v>53</v>
      </c>
      <c r="H214" s="11" t="n">
        <v>1</v>
      </c>
      <c r="I214" s="11" t="s">
        <v>54</v>
      </c>
      <c r="J214" s="10"/>
      <c r="K214" s="11" t="s">
        <v>55</v>
      </c>
      <c r="L214" s="11" t="s">
        <v>56</v>
      </c>
      <c r="M214" s="11"/>
      <c r="N214" s="11" t="s">
        <v>45</v>
      </c>
      <c r="O214" s="10"/>
    </row>
    <row r="215" customFormat="false" ht="15" hidden="false" customHeight="false" outlineLevel="0" collapsed="false">
      <c r="A215" s="11" t="n">
        <v>214</v>
      </c>
      <c r="B215" s="10" t="s">
        <v>543</v>
      </c>
      <c r="C215" s="10" t="s">
        <v>544</v>
      </c>
      <c r="D215" s="10" t="s">
        <v>540</v>
      </c>
      <c r="E215" s="10" t="s">
        <v>14</v>
      </c>
      <c r="F215" s="11" t="s">
        <v>276</v>
      </c>
      <c r="G215" s="11" t="s">
        <v>41</v>
      </c>
      <c r="H215" s="11" t="n">
        <v>1</v>
      </c>
      <c r="I215" s="11" t="s">
        <v>59</v>
      </c>
      <c r="J215" s="10"/>
      <c r="K215" s="11" t="s">
        <v>55</v>
      </c>
      <c r="L215" s="11" t="s">
        <v>56</v>
      </c>
      <c r="M215" s="11"/>
      <c r="N215" s="11" t="s">
        <v>45</v>
      </c>
      <c r="O215" s="10"/>
    </row>
    <row r="216" customFormat="false" ht="15" hidden="false" customHeight="false" outlineLevel="0" collapsed="false">
      <c r="A216" s="11" t="n">
        <v>215</v>
      </c>
      <c r="B216" s="10" t="s">
        <v>545</v>
      </c>
      <c r="C216" s="10" t="s">
        <v>546</v>
      </c>
      <c r="D216" s="10" t="s">
        <v>540</v>
      </c>
      <c r="E216" s="10" t="s">
        <v>14</v>
      </c>
      <c r="F216" s="11" t="s">
        <v>276</v>
      </c>
      <c r="G216" s="11" t="s">
        <v>48</v>
      </c>
      <c r="H216" s="11" t="n">
        <v>1</v>
      </c>
      <c r="I216" s="11" t="s">
        <v>62</v>
      </c>
      <c r="J216" s="10"/>
      <c r="K216" s="11" t="s">
        <v>50</v>
      </c>
      <c r="L216" s="11" t="s">
        <v>44</v>
      </c>
      <c r="M216" s="11"/>
      <c r="N216" s="11" t="s">
        <v>68</v>
      </c>
      <c r="O216" s="10"/>
    </row>
    <row r="217" customFormat="false" ht="15" hidden="false" customHeight="false" outlineLevel="0" collapsed="false">
      <c r="A217" s="11" t="n">
        <v>216</v>
      </c>
      <c r="B217" s="10" t="s">
        <v>547</v>
      </c>
      <c r="C217" s="10" t="s">
        <v>548</v>
      </c>
      <c r="D217" s="10" t="s">
        <v>540</v>
      </c>
      <c r="E217" s="10" t="s">
        <v>14</v>
      </c>
      <c r="F217" s="11" t="s">
        <v>276</v>
      </c>
      <c r="G217" s="11" t="s">
        <v>53</v>
      </c>
      <c r="H217" s="11" t="n">
        <v>1</v>
      </c>
      <c r="I217" s="11" t="s">
        <v>42</v>
      </c>
      <c r="J217" s="10"/>
      <c r="K217" s="11" t="s">
        <v>43</v>
      </c>
      <c r="L217" s="11" t="s">
        <v>44</v>
      </c>
      <c r="M217" s="11"/>
      <c r="N217" s="11" t="s">
        <v>45</v>
      </c>
      <c r="O217" s="10"/>
    </row>
    <row r="218" customFormat="false" ht="15" hidden="false" customHeight="false" outlineLevel="0" collapsed="false">
      <c r="A218" s="11" t="n">
        <v>217</v>
      </c>
      <c r="B218" s="10" t="s">
        <v>549</v>
      </c>
      <c r="C218" s="10" t="s">
        <v>550</v>
      </c>
      <c r="D218" s="10" t="s">
        <v>540</v>
      </c>
      <c r="E218" s="10" t="s">
        <v>14</v>
      </c>
      <c r="F218" s="11" t="s">
        <v>276</v>
      </c>
      <c r="G218" s="11" t="s">
        <v>41</v>
      </c>
      <c r="H218" s="11" t="n">
        <v>1</v>
      </c>
      <c r="I218" s="11" t="s">
        <v>49</v>
      </c>
      <c r="J218" s="10"/>
      <c r="K218" s="11" t="s">
        <v>50</v>
      </c>
      <c r="L218" s="11" t="s">
        <v>44</v>
      </c>
      <c r="M218" s="11"/>
      <c r="N218" s="11" t="s">
        <v>45</v>
      </c>
      <c r="O218" s="10"/>
    </row>
    <row r="219" customFormat="false" ht="15" hidden="false" customHeight="false" outlineLevel="0" collapsed="false">
      <c r="A219" s="11" t="n">
        <v>218</v>
      </c>
      <c r="B219" s="10" t="s">
        <v>551</v>
      </c>
      <c r="C219" s="10" t="s">
        <v>552</v>
      </c>
      <c r="D219" s="10" t="s">
        <v>540</v>
      </c>
      <c r="E219" s="10" t="s">
        <v>14</v>
      </c>
      <c r="F219" s="11" t="s">
        <v>276</v>
      </c>
      <c r="G219" s="11" t="s">
        <v>48</v>
      </c>
      <c r="H219" s="11" t="n">
        <v>1</v>
      </c>
      <c r="I219" s="11" t="s">
        <v>54</v>
      </c>
      <c r="J219" s="10"/>
      <c r="K219" s="11" t="s">
        <v>55</v>
      </c>
      <c r="L219" s="11" t="s">
        <v>56</v>
      </c>
      <c r="M219" s="11"/>
      <c r="N219" s="11" t="s">
        <v>45</v>
      </c>
      <c r="O219" s="10"/>
    </row>
    <row r="220" customFormat="false" ht="15" hidden="false" customHeight="false" outlineLevel="0" collapsed="false">
      <c r="A220" s="11" t="n">
        <v>219</v>
      </c>
      <c r="B220" s="10" t="s">
        <v>553</v>
      </c>
      <c r="C220" s="10" t="s">
        <v>554</v>
      </c>
      <c r="D220" s="10" t="s">
        <v>540</v>
      </c>
      <c r="E220" s="10" t="s">
        <v>14</v>
      </c>
      <c r="F220" s="11" t="s">
        <v>276</v>
      </c>
      <c r="G220" s="11" t="s">
        <v>53</v>
      </c>
      <c r="H220" s="11" t="n">
        <v>1</v>
      </c>
      <c r="I220" s="11" t="s">
        <v>59</v>
      </c>
      <c r="J220" s="10"/>
      <c r="K220" s="11" t="s">
        <v>55</v>
      </c>
      <c r="L220" s="11" t="s">
        <v>56</v>
      </c>
      <c r="M220" s="11"/>
      <c r="N220" s="11" t="s">
        <v>45</v>
      </c>
      <c r="O220" s="10"/>
    </row>
    <row r="221" customFormat="false" ht="15" hidden="false" customHeight="false" outlineLevel="0" collapsed="false">
      <c r="A221" s="11" t="n">
        <v>220</v>
      </c>
      <c r="B221" s="10" t="s">
        <v>555</v>
      </c>
      <c r="C221" s="10" t="s">
        <v>556</v>
      </c>
      <c r="D221" s="10" t="s">
        <v>540</v>
      </c>
      <c r="E221" s="10" t="s">
        <v>14</v>
      </c>
      <c r="F221" s="11" t="s">
        <v>276</v>
      </c>
      <c r="G221" s="11" t="s">
        <v>41</v>
      </c>
      <c r="H221" s="11" t="n">
        <v>1</v>
      </c>
      <c r="I221" s="11" t="s">
        <v>62</v>
      </c>
      <c r="J221" s="10"/>
      <c r="K221" s="11" t="s">
        <v>50</v>
      </c>
      <c r="L221" s="11" t="s">
        <v>44</v>
      </c>
      <c r="M221" s="11"/>
      <c r="N221" s="11" t="s">
        <v>45</v>
      </c>
      <c r="O221" s="10"/>
    </row>
    <row r="222" customFormat="false" ht="23.85" hidden="false" customHeight="false" outlineLevel="0" collapsed="false">
      <c r="A222" s="11" t="n">
        <v>221</v>
      </c>
      <c r="B222" s="10" t="s">
        <v>557</v>
      </c>
      <c r="C222" s="10" t="s">
        <v>558</v>
      </c>
      <c r="D222" s="10" t="s">
        <v>540</v>
      </c>
      <c r="E222" s="10" t="s">
        <v>14</v>
      </c>
      <c r="F222" s="11" t="s">
        <v>276</v>
      </c>
      <c r="G222" s="11" t="s">
        <v>48</v>
      </c>
      <c r="H222" s="11" t="n">
        <v>1</v>
      </c>
      <c r="I222" s="11" t="s">
        <v>42</v>
      </c>
      <c r="J222" s="10"/>
      <c r="K222" s="11" t="s">
        <v>43</v>
      </c>
      <c r="L222" s="11" t="s">
        <v>44</v>
      </c>
      <c r="M222" s="11"/>
      <c r="N222" s="11" t="s">
        <v>130</v>
      </c>
      <c r="O222" s="10"/>
    </row>
    <row r="223" customFormat="false" ht="15" hidden="false" customHeight="false" outlineLevel="0" collapsed="false">
      <c r="A223" s="11" t="n">
        <v>222</v>
      </c>
      <c r="B223" s="10" t="s">
        <v>559</v>
      </c>
      <c r="C223" s="10" t="s">
        <v>560</v>
      </c>
      <c r="D223" s="10" t="s">
        <v>561</v>
      </c>
      <c r="E223" s="10" t="s">
        <v>14</v>
      </c>
      <c r="F223" s="11" t="s">
        <v>276</v>
      </c>
      <c r="G223" s="11" t="s">
        <v>53</v>
      </c>
      <c r="H223" s="11" t="n">
        <v>1</v>
      </c>
      <c r="I223" s="11" t="s">
        <v>49</v>
      </c>
      <c r="J223" s="10"/>
      <c r="K223" s="11" t="s">
        <v>50</v>
      </c>
      <c r="L223" s="11" t="s">
        <v>44</v>
      </c>
      <c r="M223" s="11"/>
      <c r="N223" s="11" t="s">
        <v>45</v>
      </c>
      <c r="O223" s="10"/>
    </row>
    <row r="224" customFormat="false" ht="15" hidden="false" customHeight="false" outlineLevel="0" collapsed="false">
      <c r="A224" s="11" t="n">
        <v>223</v>
      </c>
      <c r="B224" s="10" t="s">
        <v>562</v>
      </c>
      <c r="C224" s="10" t="s">
        <v>563</v>
      </c>
      <c r="D224" s="10" t="s">
        <v>561</v>
      </c>
      <c r="E224" s="10" t="s">
        <v>14</v>
      </c>
      <c r="F224" s="11" t="s">
        <v>276</v>
      </c>
      <c r="G224" s="11" t="s">
        <v>41</v>
      </c>
      <c r="H224" s="11" t="n">
        <v>1</v>
      </c>
      <c r="I224" s="11" t="s">
        <v>54</v>
      </c>
      <c r="J224" s="10"/>
      <c r="K224" s="11" t="s">
        <v>55</v>
      </c>
      <c r="L224" s="11" t="s">
        <v>56</v>
      </c>
      <c r="M224" s="11"/>
      <c r="N224" s="11" t="s">
        <v>45</v>
      </c>
      <c r="O224" s="10"/>
    </row>
    <row r="225" customFormat="false" ht="15" hidden="false" customHeight="false" outlineLevel="0" collapsed="false">
      <c r="A225" s="11" t="n">
        <v>224</v>
      </c>
      <c r="B225" s="10" t="s">
        <v>564</v>
      </c>
      <c r="C225" s="10" t="s">
        <v>565</v>
      </c>
      <c r="D225" s="10" t="s">
        <v>561</v>
      </c>
      <c r="E225" s="10" t="s">
        <v>14</v>
      </c>
      <c r="F225" s="11" t="s">
        <v>276</v>
      </c>
      <c r="G225" s="11" t="s">
        <v>48</v>
      </c>
      <c r="H225" s="11" t="n">
        <v>1</v>
      </c>
      <c r="I225" s="11" t="s">
        <v>59</v>
      </c>
      <c r="J225" s="10"/>
      <c r="K225" s="11" t="s">
        <v>55</v>
      </c>
      <c r="L225" s="11" t="s">
        <v>56</v>
      </c>
      <c r="M225" s="11"/>
      <c r="N225" s="11" t="s">
        <v>45</v>
      </c>
      <c r="O225" s="10"/>
    </row>
    <row r="226" customFormat="false" ht="15" hidden="false" customHeight="false" outlineLevel="0" collapsed="false">
      <c r="A226" s="11" t="n">
        <v>225</v>
      </c>
      <c r="B226" s="10" t="s">
        <v>566</v>
      </c>
      <c r="C226" s="10" t="s">
        <v>567</v>
      </c>
      <c r="D226" s="10" t="s">
        <v>561</v>
      </c>
      <c r="E226" s="10" t="s">
        <v>14</v>
      </c>
      <c r="F226" s="11" t="s">
        <v>276</v>
      </c>
      <c r="G226" s="11" t="s">
        <v>53</v>
      </c>
      <c r="H226" s="11" t="n">
        <v>1</v>
      </c>
      <c r="I226" s="11" t="s">
        <v>62</v>
      </c>
      <c r="J226" s="10"/>
      <c r="K226" s="11" t="s">
        <v>50</v>
      </c>
      <c r="L226" s="11" t="s">
        <v>44</v>
      </c>
      <c r="M226" s="11"/>
      <c r="N226" s="11" t="s">
        <v>45</v>
      </c>
      <c r="O226" s="10"/>
    </row>
    <row r="227" customFormat="false" ht="15" hidden="false" customHeight="false" outlineLevel="0" collapsed="false">
      <c r="A227" s="11" t="n">
        <v>226</v>
      </c>
      <c r="B227" s="10" t="s">
        <v>568</v>
      </c>
      <c r="C227" s="10" t="s">
        <v>569</v>
      </c>
      <c r="D227" s="10" t="s">
        <v>561</v>
      </c>
      <c r="E227" s="10" t="s">
        <v>14</v>
      </c>
      <c r="F227" s="11" t="s">
        <v>276</v>
      </c>
      <c r="G227" s="11" t="s">
        <v>41</v>
      </c>
      <c r="H227" s="11" t="n">
        <v>1</v>
      </c>
      <c r="I227" s="11" t="s">
        <v>42</v>
      </c>
      <c r="J227" s="10"/>
      <c r="K227" s="11" t="s">
        <v>43</v>
      </c>
      <c r="L227" s="11" t="s">
        <v>44</v>
      </c>
      <c r="M227" s="11"/>
      <c r="N227" s="11" t="s">
        <v>45</v>
      </c>
      <c r="O227" s="10"/>
    </row>
    <row r="228" customFormat="false" ht="15" hidden="false" customHeight="false" outlineLevel="0" collapsed="false">
      <c r="A228" s="11" t="n">
        <v>227</v>
      </c>
      <c r="B228" s="10" t="s">
        <v>570</v>
      </c>
      <c r="C228" s="10" t="s">
        <v>571</v>
      </c>
      <c r="D228" s="10" t="s">
        <v>561</v>
      </c>
      <c r="E228" s="10" t="s">
        <v>14</v>
      </c>
      <c r="F228" s="11" t="s">
        <v>276</v>
      </c>
      <c r="G228" s="11" t="s">
        <v>48</v>
      </c>
      <c r="H228" s="11" t="n">
        <v>1</v>
      </c>
      <c r="I228" s="11" t="s">
        <v>49</v>
      </c>
      <c r="J228" s="10"/>
      <c r="K228" s="11" t="s">
        <v>50</v>
      </c>
      <c r="L228" s="11" t="s">
        <v>44</v>
      </c>
      <c r="M228" s="11"/>
      <c r="N228" s="11" t="s">
        <v>45</v>
      </c>
      <c r="O228" s="10"/>
    </row>
    <row r="229" customFormat="false" ht="15" hidden="false" customHeight="false" outlineLevel="0" collapsed="false">
      <c r="A229" s="11" t="n">
        <v>228</v>
      </c>
      <c r="B229" s="10" t="s">
        <v>572</v>
      </c>
      <c r="C229" s="10" t="s">
        <v>573</v>
      </c>
      <c r="D229" s="10" t="s">
        <v>574</v>
      </c>
      <c r="E229" s="10" t="s">
        <v>14</v>
      </c>
      <c r="F229" s="11" t="s">
        <v>399</v>
      </c>
      <c r="G229" s="11" t="s">
        <v>53</v>
      </c>
      <c r="H229" s="11" t="n">
        <v>1</v>
      </c>
      <c r="I229" s="11" t="s">
        <v>54</v>
      </c>
      <c r="J229" s="10"/>
      <c r="K229" s="11" t="s">
        <v>55</v>
      </c>
      <c r="L229" s="11" t="s">
        <v>56</v>
      </c>
      <c r="M229" s="11"/>
      <c r="N229" s="11" t="s">
        <v>45</v>
      </c>
      <c r="O229" s="10"/>
    </row>
    <row r="230" customFormat="false" ht="23.85" hidden="false" customHeight="false" outlineLevel="0" collapsed="false">
      <c r="A230" s="11" t="n">
        <v>229</v>
      </c>
      <c r="B230" s="10" t="s">
        <v>575</v>
      </c>
      <c r="C230" s="10" t="s">
        <v>576</v>
      </c>
      <c r="D230" s="10" t="s">
        <v>574</v>
      </c>
      <c r="E230" s="10" t="s">
        <v>14</v>
      </c>
      <c r="F230" s="11" t="s">
        <v>399</v>
      </c>
      <c r="G230" s="11" t="s">
        <v>41</v>
      </c>
      <c r="H230" s="11" t="n">
        <v>1</v>
      </c>
      <c r="I230" s="11" t="s">
        <v>59</v>
      </c>
      <c r="J230" s="10"/>
      <c r="K230" s="11" t="s">
        <v>55</v>
      </c>
      <c r="L230" s="11" t="s">
        <v>56</v>
      </c>
      <c r="M230" s="11"/>
      <c r="N230" s="11" t="s">
        <v>45</v>
      </c>
      <c r="O230" s="10"/>
    </row>
    <row r="231" customFormat="false" ht="15" hidden="false" customHeight="false" outlineLevel="0" collapsed="false">
      <c r="A231" s="11" t="n">
        <v>230</v>
      </c>
      <c r="B231" s="10" t="s">
        <v>577</v>
      </c>
      <c r="C231" s="10" t="s">
        <v>578</v>
      </c>
      <c r="D231" s="10" t="s">
        <v>574</v>
      </c>
      <c r="E231" s="10" t="s">
        <v>14</v>
      </c>
      <c r="F231" s="11" t="s">
        <v>399</v>
      </c>
      <c r="G231" s="11" t="s">
        <v>48</v>
      </c>
      <c r="H231" s="11" t="n">
        <v>1</v>
      </c>
      <c r="I231" s="11" t="s">
        <v>62</v>
      </c>
      <c r="J231" s="10"/>
      <c r="K231" s="11" t="s">
        <v>50</v>
      </c>
      <c r="L231" s="11" t="s">
        <v>44</v>
      </c>
      <c r="M231" s="11"/>
      <c r="N231" s="11" t="s">
        <v>45</v>
      </c>
      <c r="O231" s="10"/>
    </row>
    <row r="232" customFormat="false" ht="15" hidden="false" customHeight="false" outlineLevel="0" collapsed="false">
      <c r="A232" s="11" t="n">
        <v>231</v>
      </c>
      <c r="B232" s="10" t="s">
        <v>579</v>
      </c>
      <c r="C232" s="10" t="s">
        <v>580</v>
      </c>
      <c r="D232" s="10" t="s">
        <v>574</v>
      </c>
      <c r="E232" s="10" t="s">
        <v>14</v>
      </c>
      <c r="F232" s="11" t="s">
        <v>399</v>
      </c>
      <c r="G232" s="11" t="s">
        <v>53</v>
      </c>
      <c r="H232" s="11" t="n">
        <v>1</v>
      </c>
      <c r="I232" s="11" t="s">
        <v>42</v>
      </c>
      <c r="J232" s="10"/>
      <c r="K232" s="11" t="s">
        <v>43</v>
      </c>
      <c r="L232" s="11" t="s">
        <v>44</v>
      </c>
      <c r="M232" s="11"/>
      <c r="N232" s="11" t="s">
        <v>45</v>
      </c>
      <c r="O232" s="10"/>
    </row>
    <row r="233" customFormat="false" ht="15" hidden="false" customHeight="false" outlineLevel="0" collapsed="false">
      <c r="A233" s="11" t="n">
        <v>232</v>
      </c>
      <c r="B233" s="10" t="s">
        <v>581</v>
      </c>
      <c r="C233" s="10" t="s">
        <v>582</v>
      </c>
      <c r="D233" s="10" t="s">
        <v>574</v>
      </c>
      <c r="E233" s="10" t="s">
        <v>14</v>
      </c>
      <c r="F233" s="11" t="s">
        <v>399</v>
      </c>
      <c r="G233" s="11" t="s">
        <v>41</v>
      </c>
      <c r="H233" s="11" t="n">
        <v>1</v>
      </c>
      <c r="I233" s="11" t="s">
        <v>49</v>
      </c>
      <c r="J233" s="10"/>
      <c r="K233" s="11" t="s">
        <v>50</v>
      </c>
      <c r="L233" s="11" t="s">
        <v>44</v>
      </c>
      <c r="M233" s="11"/>
      <c r="N233" s="11" t="s">
        <v>45</v>
      </c>
      <c r="O233" s="10"/>
    </row>
    <row r="234" customFormat="false" ht="15" hidden="false" customHeight="false" outlineLevel="0" collapsed="false">
      <c r="A234" s="11" t="n">
        <v>233</v>
      </c>
      <c r="B234" s="10" t="s">
        <v>583</v>
      </c>
      <c r="C234" s="10" t="s">
        <v>584</v>
      </c>
      <c r="D234" s="10" t="s">
        <v>585</v>
      </c>
      <c r="E234" s="10" t="s">
        <v>14</v>
      </c>
      <c r="F234" s="11" t="s">
        <v>276</v>
      </c>
      <c r="G234" s="11" t="s">
        <v>48</v>
      </c>
      <c r="H234" s="11" t="n">
        <v>1</v>
      </c>
      <c r="I234" s="11" t="s">
        <v>54</v>
      </c>
      <c r="J234" s="10"/>
      <c r="K234" s="11" t="s">
        <v>55</v>
      </c>
      <c r="L234" s="11" t="s">
        <v>56</v>
      </c>
      <c r="M234" s="11"/>
      <c r="N234" s="11" t="s">
        <v>68</v>
      </c>
      <c r="O234" s="10"/>
    </row>
    <row r="235" customFormat="false" ht="15" hidden="false" customHeight="false" outlineLevel="0" collapsed="false">
      <c r="A235" s="11" t="n">
        <v>234</v>
      </c>
      <c r="B235" s="10" t="s">
        <v>586</v>
      </c>
      <c r="C235" s="10" t="s">
        <v>587</v>
      </c>
      <c r="D235" s="10" t="s">
        <v>585</v>
      </c>
      <c r="E235" s="10" t="s">
        <v>14</v>
      </c>
      <c r="F235" s="11" t="s">
        <v>276</v>
      </c>
      <c r="G235" s="11" t="s">
        <v>53</v>
      </c>
      <c r="H235" s="11" t="n">
        <v>1</v>
      </c>
      <c r="I235" s="11" t="s">
        <v>59</v>
      </c>
      <c r="J235" s="10"/>
      <c r="K235" s="11" t="s">
        <v>55</v>
      </c>
      <c r="L235" s="11" t="s">
        <v>56</v>
      </c>
      <c r="M235" s="11"/>
      <c r="N235" s="11" t="s">
        <v>130</v>
      </c>
      <c r="O235" s="10"/>
    </row>
    <row r="236" customFormat="false" ht="15" hidden="false" customHeight="false" outlineLevel="0" collapsed="false">
      <c r="A236" s="11" t="n">
        <v>235</v>
      </c>
      <c r="B236" s="10" t="s">
        <v>588</v>
      </c>
      <c r="C236" s="10" t="s">
        <v>589</v>
      </c>
      <c r="D236" s="10" t="s">
        <v>585</v>
      </c>
      <c r="E236" s="10" t="s">
        <v>14</v>
      </c>
      <c r="F236" s="11" t="s">
        <v>276</v>
      </c>
      <c r="G236" s="11" t="s">
        <v>41</v>
      </c>
      <c r="H236" s="11" t="n">
        <v>1</v>
      </c>
      <c r="I236" s="11" t="s">
        <v>62</v>
      </c>
      <c r="J236" s="10"/>
      <c r="K236" s="11" t="s">
        <v>50</v>
      </c>
      <c r="L236" s="11" t="s">
        <v>44</v>
      </c>
      <c r="M236" s="11"/>
      <c r="N236" s="11" t="s">
        <v>45</v>
      </c>
      <c r="O236" s="10"/>
    </row>
    <row r="237" customFormat="false" ht="15" hidden="false" customHeight="false" outlineLevel="0" collapsed="false">
      <c r="A237" s="11" t="n">
        <v>236</v>
      </c>
      <c r="B237" s="10" t="s">
        <v>590</v>
      </c>
      <c r="C237" s="10" t="s">
        <v>591</v>
      </c>
      <c r="D237" s="10" t="s">
        <v>585</v>
      </c>
      <c r="E237" s="10" t="s">
        <v>14</v>
      </c>
      <c r="F237" s="11" t="s">
        <v>276</v>
      </c>
      <c r="G237" s="11" t="s">
        <v>48</v>
      </c>
      <c r="H237" s="11" t="n">
        <v>1</v>
      </c>
      <c r="I237" s="11" t="s">
        <v>42</v>
      </c>
      <c r="J237" s="10"/>
      <c r="K237" s="11" t="s">
        <v>43</v>
      </c>
      <c r="L237" s="11" t="s">
        <v>44</v>
      </c>
      <c r="M237" s="11"/>
      <c r="N237" s="11" t="s">
        <v>45</v>
      </c>
      <c r="O237" s="10"/>
    </row>
    <row r="238" customFormat="false" ht="15" hidden="false" customHeight="false" outlineLevel="0" collapsed="false">
      <c r="A238" s="11" t="n">
        <v>237</v>
      </c>
      <c r="B238" s="10" t="s">
        <v>592</v>
      </c>
      <c r="C238" s="10" t="s">
        <v>593</v>
      </c>
      <c r="D238" s="10" t="s">
        <v>594</v>
      </c>
      <c r="E238" s="10" t="s">
        <v>14</v>
      </c>
      <c r="F238" s="11" t="s">
        <v>276</v>
      </c>
      <c r="G238" s="11" t="s">
        <v>53</v>
      </c>
      <c r="H238" s="11" t="n">
        <v>1</v>
      </c>
      <c r="I238" s="11" t="s">
        <v>49</v>
      </c>
      <c r="J238" s="10"/>
      <c r="K238" s="11" t="s">
        <v>50</v>
      </c>
      <c r="L238" s="11" t="s">
        <v>44</v>
      </c>
      <c r="M238" s="11"/>
      <c r="N238" s="11" t="s">
        <v>45</v>
      </c>
      <c r="O238" s="10"/>
    </row>
    <row r="239" customFormat="false" ht="15" hidden="false" customHeight="false" outlineLevel="0" collapsed="false">
      <c r="A239" s="11" t="n">
        <v>238</v>
      </c>
      <c r="B239" s="10" t="s">
        <v>595</v>
      </c>
      <c r="C239" s="10" t="s">
        <v>596</v>
      </c>
      <c r="D239" s="10" t="s">
        <v>594</v>
      </c>
      <c r="E239" s="10" t="s">
        <v>14</v>
      </c>
      <c r="F239" s="11" t="s">
        <v>276</v>
      </c>
      <c r="G239" s="11" t="s">
        <v>41</v>
      </c>
      <c r="H239" s="11" t="n">
        <v>1</v>
      </c>
      <c r="I239" s="11" t="s">
        <v>54</v>
      </c>
      <c r="J239" s="10"/>
      <c r="K239" s="11" t="s">
        <v>55</v>
      </c>
      <c r="L239" s="11" t="s">
        <v>56</v>
      </c>
      <c r="M239" s="11"/>
      <c r="N239" s="11" t="s">
        <v>45</v>
      </c>
      <c r="O239" s="10"/>
    </row>
    <row r="240" customFormat="false" ht="15" hidden="false" customHeight="false" outlineLevel="0" collapsed="false">
      <c r="A240" s="11" t="n">
        <v>239</v>
      </c>
      <c r="B240" s="10" t="s">
        <v>597</v>
      </c>
      <c r="C240" s="10" t="s">
        <v>598</v>
      </c>
      <c r="D240" s="10" t="s">
        <v>594</v>
      </c>
      <c r="E240" s="10" t="s">
        <v>14</v>
      </c>
      <c r="F240" s="11" t="s">
        <v>276</v>
      </c>
      <c r="G240" s="11" t="s">
        <v>48</v>
      </c>
      <c r="H240" s="11" t="n">
        <v>1</v>
      </c>
      <c r="I240" s="11" t="s">
        <v>59</v>
      </c>
      <c r="J240" s="10"/>
      <c r="K240" s="11" t="s">
        <v>55</v>
      </c>
      <c r="L240" s="11" t="s">
        <v>56</v>
      </c>
      <c r="M240" s="11"/>
      <c r="N240" s="11" t="s">
        <v>45</v>
      </c>
      <c r="O240" s="10"/>
    </row>
    <row r="241" customFormat="false" ht="15" hidden="false" customHeight="false" outlineLevel="0" collapsed="false">
      <c r="A241" s="11" t="n">
        <v>240</v>
      </c>
      <c r="B241" s="10" t="s">
        <v>599</v>
      </c>
      <c r="C241" s="10" t="s">
        <v>600</v>
      </c>
      <c r="D241" s="10" t="s">
        <v>594</v>
      </c>
      <c r="E241" s="10" t="s">
        <v>14</v>
      </c>
      <c r="F241" s="11" t="s">
        <v>276</v>
      </c>
      <c r="G241" s="11" t="s">
        <v>53</v>
      </c>
      <c r="H241" s="11" t="n">
        <v>1</v>
      </c>
      <c r="I241" s="11" t="s">
        <v>62</v>
      </c>
      <c r="J241" s="10"/>
      <c r="K241" s="11" t="s">
        <v>50</v>
      </c>
      <c r="L241" s="11" t="s">
        <v>44</v>
      </c>
      <c r="M241" s="11"/>
      <c r="N241" s="11" t="s">
        <v>45</v>
      </c>
      <c r="O241" s="10"/>
    </row>
    <row r="242" customFormat="false" ht="15" hidden="false" customHeight="false" outlineLevel="0" collapsed="false">
      <c r="A242" s="11" t="n">
        <v>241</v>
      </c>
      <c r="B242" s="10" t="s">
        <v>601</v>
      </c>
      <c r="C242" s="10" t="s">
        <v>602</v>
      </c>
      <c r="D242" s="10" t="s">
        <v>594</v>
      </c>
      <c r="E242" s="10" t="s">
        <v>14</v>
      </c>
      <c r="F242" s="11" t="s">
        <v>276</v>
      </c>
      <c r="G242" s="11" t="s">
        <v>41</v>
      </c>
      <c r="H242" s="11" t="n">
        <v>1</v>
      </c>
      <c r="I242" s="11" t="s">
        <v>42</v>
      </c>
      <c r="J242" s="10"/>
      <c r="K242" s="11" t="s">
        <v>43</v>
      </c>
      <c r="L242" s="11" t="s">
        <v>44</v>
      </c>
      <c r="M242" s="11"/>
      <c r="N242" s="11" t="s">
        <v>45</v>
      </c>
      <c r="O242" s="10"/>
    </row>
    <row r="243" customFormat="false" ht="15" hidden="false" customHeight="false" outlineLevel="0" collapsed="false">
      <c r="A243" s="11" t="n">
        <v>242</v>
      </c>
      <c r="B243" s="10" t="s">
        <v>603</v>
      </c>
      <c r="C243" s="10" t="s">
        <v>604</v>
      </c>
      <c r="D243" s="10" t="s">
        <v>594</v>
      </c>
      <c r="E243" s="10" t="s">
        <v>14</v>
      </c>
      <c r="F243" s="11" t="s">
        <v>276</v>
      </c>
      <c r="G243" s="11" t="s">
        <v>48</v>
      </c>
      <c r="H243" s="11" t="n">
        <v>1</v>
      </c>
      <c r="I243" s="11" t="s">
        <v>49</v>
      </c>
      <c r="J243" s="10"/>
      <c r="K243" s="11" t="s">
        <v>50</v>
      </c>
      <c r="L243" s="11" t="s">
        <v>44</v>
      </c>
      <c r="M243" s="11"/>
      <c r="N243" s="11" t="s">
        <v>45</v>
      </c>
      <c r="O243" s="10"/>
    </row>
    <row r="244" customFormat="false" ht="15" hidden="false" customHeight="false" outlineLevel="0" collapsed="false">
      <c r="A244" s="11" t="n">
        <v>243</v>
      </c>
      <c r="B244" s="10" t="s">
        <v>605</v>
      </c>
      <c r="C244" s="10" t="s">
        <v>606</v>
      </c>
      <c r="D244" s="10" t="s">
        <v>594</v>
      </c>
      <c r="E244" s="10" t="s">
        <v>14</v>
      </c>
      <c r="F244" s="11" t="s">
        <v>276</v>
      </c>
      <c r="G244" s="11" t="s">
        <v>53</v>
      </c>
      <c r="H244" s="11" t="n">
        <v>1</v>
      </c>
      <c r="I244" s="11" t="s">
        <v>54</v>
      </c>
      <c r="J244" s="10"/>
      <c r="K244" s="11" t="s">
        <v>55</v>
      </c>
      <c r="L244" s="11" t="s">
        <v>56</v>
      </c>
      <c r="M244" s="11"/>
      <c r="N244" s="11" t="s">
        <v>45</v>
      </c>
      <c r="O244" s="10"/>
    </row>
    <row r="245" customFormat="false" ht="15" hidden="false" customHeight="false" outlineLevel="0" collapsed="false">
      <c r="A245" s="11" t="n">
        <v>244</v>
      </c>
      <c r="B245" s="10" t="s">
        <v>607</v>
      </c>
      <c r="C245" s="10" t="s">
        <v>608</v>
      </c>
      <c r="D245" s="10" t="s">
        <v>594</v>
      </c>
      <c r="E245" s="10" t="s">
        <v>14</v>
      </c>
      <c r="F245" s="11" t="s">
        <v>276</v>
      </c>
      <c r="G245" s="11" t="s">
        <v>41</v>
      </c>
      <c r="H245" s="11" t="n">
        <v>1</v>
      </c>
      <c r="I245" s="11" t="s">
        <v>59</v>
      </c>
      <c r="J245" s="10"/>
      <c r="K245" s="11" t="s">
        <v>55</v>
      </c>
      <c r="L245" s="11" t="s">
        <v>56</v>
      </c>
      <c r="M245" s="11"/>
      <c r="N245" s="11" t="s">
        <v>45</v>
      </c>
      <c r="O245" s="10"/>
    </row>
    <row r="246" customFormat="false" ht="15" hidden="false" customHeight="false" outlineLevel="0" collapsed="false">
      <c r="A246" s="11" t="n">
        <v>245</v>
      </c>
      <c r="B246" s="10" t="s">
        <v>609</v>
      </c>
      <c r="C246" s="10" t="s">
        <v>610</v>
      </c>
      <c r="D246" s="10" t="s">
        <v>594</v>
      </c>
      <c r="E246" s="10" t="s">
        <v>14</v>
      </c>
      <c r="F246" s="11" t="s">
        <v>276</v>
      </c>
      <c r="G246" s="11" t="s">
        <v>48</v>
      </c>
      <c r="H246" s="11" t="n">
        <v>1</v>
      </c>
      <c r="I246" s="11" t="s">
        <v>62</v>
      </c>
      <c r="J246" s="10"/>
      <c r="K246" s="11" t="s">
        <v>50</v>
      </c>
      <c r="L246" s="11" t="s">
        <v>44</v>
      </c>
      <c r="M246" s="11"/>
      <c r="N246" s="11" t="s">
        <v>45</v>
      </c>
      <c r="O246" s="10"/>
    </row>
    <row r="247" customFormat="false" ht="15" hidden="false" customHeight="false" outlineLevel="0" collapsed="false">
      <c r="A247" s="11" t="n">
        <v>246</v>
      </c>
      <c r="B247" s="10" t="s">
        <v>611</v>
      </c>
      <c r="C247" s="10" t="s">
        <v>612</v>
      </c>
      <c r="D247" s="10" t="s">
        <v>594</v>
      </c>
      <c r="E247" s="10" t="s">
        <v>14</v>
      </c>
      <c r="F247" s="11" t="s">
        <v>276</v>
      </c>
      <c r="G247" s="11" t="s">
        <v>53</v>
      </c>
      <c r="H247" s="11" t="n">
        <v>1</v>
      </c>
      <c r="I247" s="11" t="s">
        <v>42</v>
      </c>
      <c r="J247" s="10"/>
      <c r="K247" s="11" t="s">
        <v>43</v>
      </c>
      <c r="L247" s="11" t="s">
        <v>44</v>
      </c>
      <c r="M247" s="11"/>
      <c r="N247" s="11" t="s">
        <v>45</v>
      </c>
      <c r="O247" s="10"/>
    </row>
  </sheetData>
  <conditionalFormatting sqref="N2:N247">
    <cfRule type="cellIs" priority="2" operator="equal" aboveAverage="0" equalAverage="0" bottom="0" percent="0" rank="0" text="" dxfId="6">
      <formula>"published"</formula>
    </cfRule>
    <cfRule type="cellIs" priority="3" operator="equal" aboveAverage="0" equalAverage="0" bottom="0" percent="0" rank="0" text="" dxfId="7">
      <formula>"pending"</formula>
    </cfRule>
    <cfRule type="cellIs" priority="4" operator="equal" aboveAverage="0" equalAverage="0" bottom="0" percent="0" rank="0" text="" dxfId="8">
      <formula>"in-review"</formula>
    </cfRule>
    <cfRule type="cellIs" priority="5" operator="equal" aboveAverage="0" equalAverage="0" bottom="0" percent="0" rank="0" text="" dxfId="9">
      <formula>"rejected"</formula>
    </cfRule>
  </conditionalFormatting>
  <dataValidations count="4">
    <dataValidation allowBlank="true" errorStyle="stop" operator="between" showDropDown="false" showErrorMessage="false" showInputMessage="false" sqref="N2:N247" type="list">
      <formula1>"backlog,pending,in-review,published,rejected"</formula1>
      <formula2>0</formula2>
    </dataValidation>
    <dataValidation allowBlank="true" errorStyle="stop" operator="between" showDropDown="false" showErrorMessage="false" showInputMessage="false" sqref="I2:I247" type="list">
      <formula1>"Sketchfab,Poly Haven,cgtips.org,3D Warehouse,OpenSource3D,BlenderKit,Manual"</formula1>
      <formula2>0</formula2>
    </dataValidation>
    <dataValidation allowBlank="true" errorStyle="stop" operator="between" showDropDown="false" showErrorMessage="false" showInputMessage="false" sqref="L2:L247" type="list">
      <formula1>"glb,gltf,skp,fbx,obj"</formula1>
      <formula2>0</formula2>
    </dataValidation>
    <dataValidation allowBlank="true" errorStyle="stop" operator="between" showDropDown="false" showErrorMessage="false" showInputMessage="false" sqref="G2:G247" type="list">
      <formula1>"Modern,Indian,Scandinavian,Mixed"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60"/>
  </cols>
  <sheetData>
    <row r="2" customFormat="false" ht="16.15" hidden="false" customHeight="true" outlineLevel="0" collapsed="false">
      <c r="B2" s="13" t="s">
        <v>613</v>
      </c>
      <c r="C2" s="13"/>
      <c r="D2" s="13"/>
      <c r="E2" s="13"/>
      <c r="F2" s="13"/>
      <c r="G2" s="13"/>
      <c r="H2" s="13"/>
    </row>
    <row r="4" customFormat="false" ht="15" hidden="false" customHeight="false" outlineLevel="0" collapsed="false">
      <c r="B4" s="9" t="s">
        <v>614</v>
      </c>
      <c r="C4" s="9" t="s">
        <v>30</v>
      </c>
      <c r="D4" s="9" t="s">
        <v>33</v>
      </c>
      <c r="E4" s="9" t="s">
        <v>615</v>
      </c>
      <c r="F4" s="9" t="s">
        <v>32</v>
      </c>
      <c r="G4" s="9" t="s">
        <v>616</v>
      </c>
      <c r="H4" s="9" t="s">
        <v>617</v>
      </c>
    </row>
    <row r="5" customFormat="false" ht="42" hidden="false" customHeight="true" outlineLevel="0" collapsed="false">
      <c r="B5" s="14" t="n">
        <v>1</v>
      </c>
      <c r="C5" s="14" t="s">
        <v>618</v>
      </c>
      <c r="D5" s="14" t="s">
        <v>619</v>
      </c>
      <c r="E5" s="14" t="s">
        <v>620</v>
      </c>
      <c r="F5" s="14" t="s">
        <v>621</v>
      </c>
      <c r="G5" s="14" t="s">
        <v>622</v>
      </c>
      <c r="H5" s="15" t="s">
        <v>623</v>
      </c>
    </row>
    <row r="6" customFormat="false" ht="42" hidden="false" customHeight="true" outlineLevel="0" collapsed="false">
      <c r="B6" s="14" t="n">
        <v>2</v>
      </c>
      <c r="C6" s="14" t="s">
        <v>49</v>
      </c>
      <c r="D6" s="14" t="s">
        <v>624</v>
      </c>
      <c r="E6" s="14" t="s">
        <v>625</v>
      </c>
      <c r="F6" s="14" t="s">
        <v>50</v>
      </c>
      <c r="G6" s="14" t="s">
        <v>626</v>
      </c>
      <c r="H6" s="15" t="s">
        <v>627</v>
      </c>
    </row>
    <row r="7" customFormat="false" ht="42" hidden="false" customHeight="true" outlineLevel="0" collapsed="false">
      <c r="B7" s="11" t="n">
        <v>3</v>
      </c>
      <c r="C7" s="11" t="s">
        <v>628</v>
      </c>
      <c r="D7" s="11" t="s">
        <v>629</v>
      </c>
      <c r="E7" s="11" t="s">
        <v>630</v>
      </c>
      <c r="F7" s="11" t="s">
        <v>50</v>
      </c>
      <c r="G7" s="11" t="s">
        <v>631</v>
      </c>
      <c r="H7" s="10" t="s">
        <v>632</v>
      </c>
    </row>
    <row r="8" customFormat="false" ht="42" hidden="false" customHeight="true" outlineLevel="0" collapsed="false">
      <c r="B8" s="11" t="n">
        <v>4</v>
      </c>
      <c r="C8" s="11" t="s">
        <v>59</v>
      </c>
      <c r="D8" s="11" t="s">
        <v>633</v>
      </c>
      <c r="E8" s="11" t="s">
        <v>634</v>
      </c>
      <c r="F8" s="11" t="s">
        <v>635</v>
      </c>
      <c r="G8" s="11" t="s">
        <v>636</v>
      </c>
      <c r="H8" s="10" t="s">
        <v>637</v>
      </c>
    </row>
    <row r="9" customFormat="false" ht="42" hidden="false" customHeight="true" outlineLevel="0" collapsed="false">
      <c r="B9" s="11" t="n">
        <v>5</v>
      </c>
      <c r="C9" s="11" t="s">
        <v>638</v>
      </c>
      <c r="D9" s="11" t="s">
        <v>639</v>
      </c>
      <c r="E9" s="11" t="s">
        <v>640</v>
      </c>
      <c r="F9" s="11" t="s">
        <v>641</v>
      </c>
      <c r="G9" s="11" t="s">
        <v>636</v>
      </c>
      <c r="H9" s="10" t="s">
        <v>642</v>
      </c>
    </row>
    <row r="10" customFormat="false" ht="42" hidden="false" customHeight="true" outlineLevel="0" collapsed="false">
      <c r="B10" s="11" t="n">
        <v>6</v>
      </c>
      <c r="C10" s="11" t="s">
        <v>643</v>
      </c>
      <c r="D10" s="11" t="s">
        <v>644</v>
      </c>
      <c r="E10" s="11" t="s">
        <v>645</v>
      </c>
      <c r="F10" s="11" t="s">
        <v>646</v>
      </c>
      <c r="G10" s="11" t="s">
        <v>647</v>
      </c>
      <c r="H10" s="10" t="s">
        <v>648</v>
      </c>
    </row>
    <row r="11" customFormat="false" ht="42" hidden="false" customHeight="true" outlineLevel="0" collapsed="false">
      <c r="B11" s="11" t="n">
        <v>7</v>
      </c>
      <c r="C11" s="11" t="s">
        <v>649</v>
      </c>
      <c r="D11" s="11" t="s">
        <v>650</v>
      </c>
      <c r="E11" s="11" t="s">
        <v>651</v>
      </c>
      <c r="F11" s="11" t="s">
        <v>652</v>
      </c>
      <c r="G11" s="11" t="s">
        <v>653</v>
      </c>
      <c r="H11" s="10" t="s">
        <v>654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42"/>
  </cols>
  <sheetData>
    <row r="2" customFormat="false" ht="16.15" hidden="false" customHeight="true" outlineLevel="0" collapsed="false">
      <c r="B2" s="13" t="s">
        <v>655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16" t="s">
        <v>656</v>
      </c>
      <c r="C4" s="16"/>
      <c r="D4" s="16"/>
      <c r="E4" s="16"/>
      <c r="F4" s="16"/>
      <c r="G4" s="16"/>
    </row>
    <row r="6" customFormat="false" ht="15" hidden="false" customHeight="false" outlineLevel="0" collapsed="false">
      <c r="B6" s="9" t="s">
        <v>9</v>
      </c>
      <c r="C6" s="9" t="s">
        <v>25</v>
      </c>
      <c r="D6" s="9" t="s">
        <v>657</v>
      </c>
      <c r="E6" s="9" t="s">
        <v>2</v>
      </c>
      <c r="F6" s="9" t="s">
        <v>658</v>
      </c>
      <c r="G6" s="9" t="s">
        <v>659</v>
      </c>
    </row>
    <row r="7" customFormat="false" ht="30" hidden="false" customHeight="true" outlineLevel="0" collapsed="false">
      <c r="B7" s="10" t="s">
        <v>12</v>
      </c>
      <c r="C7" s="10" t="s">
        <v>660</v>
      </c>
      <c r="D7" s="10" t="s">
        <v>661</v>
      </c>
      <c r="E7" s="11" t="s">
        <v>662</v>
      </c>
      <c r="F7" s="10" t="s">
        <v>663</v>
      </c>
      <c r="G7" s="10" t="s">
        <v>664</v>
      </c>
    </row>
    <row r="8" customFormat="false" ht="30" hidden="false" customHeight="true" outlineLevel="0" collapsed="false">
      <c r="B8" s="17" t="s">
        <v>12</v>
      </c>
      <c r="C8" s="17" t="s">
        <v>121</v>
      </c>
      <c r="D8" s="17" t="s">
        <v>665</v>
      </c>
      <c r="E8" s="18" t="s">
        <v>666</v>
      </c>
      <c r="F8" s="17" t="s">
        <v>667</v>
      </c>
      <c r="G8" s="17" t="s">
        <v>668</v>
      </c>
    </row>
    <row r="9" customFormat="false" ht="30" hidden="false" customHeight="true" outlineLevel="0" collapsed="false">
      <c r="B9" s="10" t="s">
        <v>12</v>
      </c>
      <c r="C9" s="10" t="s">
        <v>669</v>
      </c>
      <c r="D9" s="10" t="s">
        <v>670</v>
      </c>
      <c r="E9" s="11" t="s">
        <v>671</v>
      </c>
      <c r="F9" s="10" t="s">
        <v>672</v>
      </c>
      <c r="G9" s="10" t="s">
        <v>673</v>
      </c>
    </row>
    <row r="10" customFormat="false" ht="30" hidden="false" customHeight="true" outlineLevel="0" collapsed="false">
      <c r="B10" s="17" t="s">
        <v>13</v>
      </c>
      <c r="C10" s="17" t="s">
        <v>158</v>
      </c>
      <c r="D10" s="17" t="s">
        <v>674</v>
      </c>
      <c r="E10" s="18" t="s">
        <v>675</v>
      </c>
      <c r="F10" s="17" t="s">
        <v>676</v>
      </c>
      <c r="G10" s="17" t="s">
        <v>677</v>
      </c>
    </row>
    <row r="11" customFormat="false" ht="30" hidden="false" customHeight="true" outlineLevel="0" collapsed="false">
      <c r="B11" s="10" t="s">
        <v>13</v>
      </c>
      <c r="C11" s="10" t="s">
        <v>177</v>
      </c>
      <c r="D11" s="10" t="s">
        <v>678</v>
      </c>
      <c r="E11" s="11" t="s">
        <v>671</v>
      </c>
      <c r="F11" s="10" t="s">
        <v>679</v>
      </c>
      <c r="G11" s="10" t="s">
        <v>680</v>
      </c>
    </row>
    <row r="12" customFormat="false" ht="30" hidden="false" customHeight="true" outlineLevel="0" collapsed="false">
      <c r="B12" s="17" t="s">
        <v>13</v>
      </c>
      <c r="C12" s="17" t="s">
        <v>681</v>
      </c>
      <c r="D12" s="17" t="s">
        <v>682</v>
      </c>
      <c r="E12" s="18" t="s">
        <v>683</v>
      </c>
      <c r="F12" s="17" t="s">
        <v>684</v>
      </c>
      <c r="G12" s="17" t="s">
        <v>685</v>
      </c>
    </row>
    <row r="13" customFormat="false" ht="30" hidden="false" customHeight="true" outlineLevel="0" collapsed="false">
      <c r="B13" s="10" t="s">
        <v>13</v>
      </c>
      <c r="C13" s="10" t="s">
        <v>686</v>
      </c>
      <c r="D13" s="10" t="s">
        <v>687</v>
      </c>
      <c r="E13" s="11" t="s">
        <v>688</v>
      </c>
      <c r="F13" s="10" t="s">
        <v>689</v>
      </c>
      <c r="G13" s="10" t="s">
        <v>690</v>
      </c>
    </row>
    <row r="14" customFormat="false" ht="30" hidden="false" customHeight="true" outlineLevel="0" collapsed="false">
      <c r="B14" s="17" t="s">
        <v>14</v>
      </c>
      <c r="C14" s="17" t="s">
        <v>230</v>
      </c>
      <c r="D14" s="17" t="s">
        <v>691</v>
      </c>
      <c r="E14" s="18" t="s">
        <v>692</v>
      </c>
      <c r="F14" s="17" t="s">
        <v>693</v>
      </c>
      <c r="G14" s="17" t="s">
        <v>694</v>
      </c>
    </row>
    <row r="15" customFormat="false" ht="30" hidden="false" customHeight="true" outlineLevel="0" collapsed="false">
      <c r="B15" s="10" t="s">
        <v>14</v>
      </c>
      <c r="C15" s="10" t="s">
        <v>695</v>
      </c>
      <c r="D15" s="10" t="s">
        <v>696</v>
      </c>
      <c r="E15" s="11" t="s">
        <v>697</v>
      </c>
      <c r="F15" s="10" t="s">
        <v>698</v>
      </c>
      <c r="G15" s="10" t="s">
        <v>699</v>
      </c>
    </row>
    <row r="16" customFormat="false" ht="30" hidden="false" customHeight="true" outlineLevel="0" collapsed="false">
      <c r="B16" s="17" t="s">
        <v>14</v>
      </c>
      <c r="C16" s="17" t="s">
        <v>700</v>
      </c>
      <c r="D16" s="17" t="s">
        <v>701</v>
      </c>
      <c r="E16" s="18" t="s">
        <v>688</v>
      </c>
      <c r="F16" s="17" t="s">
        <v>702</v>
      </c>
      <c r="G16" s="17" t="s">
        <v>703</v>
      </c>
    </row>
    <row r="17" customFormat="false" ht="30" hidden="false" customHeight="true" outlineLevel="0" collapsed="false">
      <c r="B17" s="10" t="s">
        <v>14</v>
      </c>
      <c r="C17" s="10" t="s">
        <v>704</v>
      </c>
      <c r="D17" s="10" t="s">
        <v>705</v>
      </c>
      <c r="E17" s="11" t="s">
        <v>706</v>
      </c>
      <c r="F17" s="10" t="s">
        <v>707</v>
      </c>
      <c r="G17" s="10" t="s">
        <v>708</v>
      </c>
    </row>
    <row r="18" customFormat="false" ht="30" hidden="false" customHeight="true" outlineLevel="0" collapsed="false">
      <c r="B18" s="17" t="s">
        <v>14</v>
      </c>
      <c r="C18" s="17" t="s">
        <v>293</v>
      </c>
      <c r="D18" s="17" t="s">
        <v>709</v>
      </c>
      <c r="E18" s="18" t="s">
        <v>706</v>
      </c>
      <c r="F18" s="17" t="s">
        <v>710</v>
      </c>
      <c r="G18" s="17" t="s">
        <v>711</v>
      </c>
    </row>
    <row r="19" customFormat="false" ht="30" hidden="false" customHeight="true" outlineLevel="0" collapsed="false">
      <c r="B19" s="10" t="s">
        <v>15</v>
      </c>
      <c r="C19" s="10" t="s">
        <v>700</v>
      </c>
      <c r="D19" s="10" t="s">
        <v>712</v>
      </c>
      <c r="E19" s="11" t="s">
        <v>697</v>
      </c>
      <c r="F19" s="10" t="s">
        <v>713</v>
      </c>
      <c r="G19" s="10" t="s">
        <v>714</v>
      </c>
    </row>
    <row r="20" customFormat="false" ht="30" hidden="false" customHeight="true" outlineLevel="0" collapsed="false">
      <c r="B20" s="17" t="s">
        <v>15</v>
      </c>
      <c r="C20" s="17" t="s">
        <v>715</v>
      </c>
      <c r="D20" s="17" t="s">
        <v>716</v>
      </c>
      <c r="E20" s="18" t="s">
        <v>697</v>
      </c>
      <c r="F20" s="17" t="s">
        <v>717</v>
      </c>
      <c r="G20" s="17" t="s">
        <v>718</v>
      </c>
    </row>
    <row r="21" customFormat="false" ht="30" hidden="false" customHeight="true" outlineLevel="0" collapsed="false">
      <c r="B21" s="10" t="s">
        <v>15</v>
      </c>
      <c r="C21" s="10" t="s">
        <v>719</v>
      </c>
      <c r="D21" s="10" t="s">
        <v>720</v>
      </c>
      <c r="E21" s="11" t="s">
        <v>706</v>
      </c>
      <c r="F21" s="10" t="s">
        <v>721</v>
      </c>
      <c r="G21" s="10" t="s">
        <v>722</v>
      </c>
    </row>
    <row r="22" customFormat="false" ht="30" hidden="false" customHeight="true" outlineLevel="0" collapsed="false">
      <c r="B22" s="17" t="s">
        <v>16</v>
      </c>
      <c r="C22" s="17" t="s">
        <v>369</v>
      </c>
      <c r="D22" s="17" t="s">
        <v>723</v>
      </c>
      <c r="E22" s="18" t="s">
        <v>671</v>
      </c>
      <c r="F22" s="17" t="s">
        <v>724</v>
      </c>
      <c r="G22" s="17" t="s">
        <v>725</v>
      </c>
    </row>
    <row r="23" customFormat="false" ht="30" hidden="false" customHeight="true" outlineLevel="0" collapsed="false">
      <c r="B23" s="10" t="s">
        <v>16</v>
      </c>
      <c r="C23" s="10" t="s">
        <v>726</v>
      </c>
      <c r="D23" s="10" t="s">
        <v>727</v>
      </c>
      <c r="E23" s="11" t="s">
        <v>675</v>
      </c>
      <c r="F23" s="10" t="s">
        <v>728</v>
      </c>
      <c r="G23" s="10" t="s">
        <v>729</v>
      </c>
    </row>
    <row r="24" customFormat="false" ht="30" hidden="false" customHeight="true" outlineLevel="0" collapsed="false">
      <c r="B24" s="17" t="s">
        <v>16</v>
      </c>
      <c r="C24" s="17" t="s">
        <v>730</v>
      </c>
      <c r="D24" s="17" t="s">
        <v>731</v>
      </c>
      <c r="E24" s="18" t="s">
        <v>671</v>
      </c>
      <c r="F24" s="17" t="s">
        <v>732</v>
      </c>
      <c r="G24" s="17" t="s">
        <v>733</v>
      </c>
    </row>
    <row r="25" customFormat="false" ht="30" hidden="false" customHeight="true" outlineLevel="0" collapsed="false">
      <c r="B25" s="10" t="s">
        <v>17</v>
      </c>
      <c r="C25" s="10" t="s">
        <v>415</v>
      </c>
      <c r="D25" s="10" t="s">
        <v>734</v>
      </c>
      <c r="E25" s="11" t="s">
        <v>671</v>
      </c>
      <c r="F25" s="10" t="s">
        <v>735</v>
      </c>
      <c r="G25" s="10" t="s">
        <v>736</v>
      </c>
    </row>
    <row r="26" customFormat="false" ht="30" hidden="false" customHeight="true" outlineLevel="0" collapsed="false">
      <c r="B26" s="17" t="s">
        <v>17</v>
      </c>
      <c r="C26" s="17" t="s">
        <v>715</v>
      </c>
      <c r="D26" s="17" t="s">
        <v>737</v>
      </c>
      <c r="E26" s="18" t="s">
        <v>706</v>
      </c>
      <c r="F26" s="17" t="s">
        <v>738</v>
      </c>
      <c r="G26" s="17" t="s">
        <v>739</v>
      </c>
    </row>
    <row r="27" customFormat="false" ht="30" hidden="false" customHeight="true" outlineLevel="0" collapsed="false">
      <c r="B27" s="10" t="s">
        <v>17</v>
      </c>
      <c r="C27" s="10" t="s">
        <v>740</v>
      </c>
      <c r="D27" s="10" t="s">
        <v>741</v>
      </c>
      <c r="E27" s="11" t="s">
        <v>697</v>
      </c>
      <c r="F27" s="10" t="s">
        <v>742</v>
      </c>
      <c r="G27" s="10" t="s">
        <v>739</v>
      </c>
    </row>
    <row r="28" customFormat="false" ht="30" hidden="false" customHeight="true" outlineLevel="0" collapsed="false">
      <c r="B28" s="17" t="s">
        <v>18</v>
      </c>
      <c r="C28" s="17" t="s">
        <v>158</v>
      </c>
      <c r="D28" s="17" t="s">
        <v>743</v>
      </c>
      <c r="E28" s="18" t="s">
        <v>744</v>
      </c>
      <c r="F28" s="17" t="s">
        <v>745</v>
      </c>
      <c r="G28" s="17" t="s">
        <v>746</v>
      </c>
    </row>
    <row r="29" customFormat="false" ht="30" hidden="false" customHeight="true" outlineLevel="0" collapsed="false">
      <c r="B29" s="10" t="s">
        <v>18</v>
      </c>
      <c r="C29" s="10" t="s">
        <v>747</v>
      </c>
      <c r="D29" s="10" t="s">
        <v>748</v>
      </c>
      <c r="E29" s="11" t="s">
        <v>688</v>
      </c>
      <c r="F29" s="10" t="s">
        <v>749</v>
      </c>
      <c r="G29" s="10" t="s">
        <v>750</v>
      </c>
    </row>
    <row r="30" customFormat="false" ht="30" hidden="false" customHeight="true" outlineLevel="0" collapsed="false">
      <c r="B30" s="17" t="s">
        <v>19</v>
      </c>
      <c r="C30" s="17" t="s">
        <v>751</v>
      </c>
      <c r="D30" s="17" t="s">
        <v>752</v>
      </c>
      <c r="E30" s="18" t="s">
        <v>706</v>
      </c>
      <c r="F30" s="17" t="s">
        <v>753</v>
      </c>
      <c r="G30" s="17" t="s">
        <v>754</v>
      </c>
    </row>
    <row r="31" customFormat="false" ht="30" hidden="false" customHeight="true" outlineLevel="0" collapsed="false">
      <c r="B31" s="10" t="s">
        <v>19</v>
      </c>
      <c r="C31" s="10" t="s">
        <v>755</v>
      </c>
      <c r="D31" s="10" t="s">
        <v>756</v>
      </c>
      <c r="E31" s="11" t="s">
        <v>697</v>
      </c>
      <c r="F31" s="10" t="s">
        <v>757</v>
      </c>
      <c r="G31" s="10" t="s">
        <v>758</v>
      </c>
    </row>
    <row r="32" customFormat="false" ht="30" hidden="false" customHeight="true" outlineLevel="0" collapsed="false">
      <c r="B32" s="17" t="s">
        <v>20</v>
      </c>
      <c r="C32" s="17" t="s">
        <v>496</v>
      </c>
      <c r="D32" s="17" t="s">
        <v>759</v>
      </c>
      <c r="E32" s="18" t="s">
        <v>688</v>
      </c>
      <c r="F32" s="17" t="s">
        <v>760</v>
      </c>
      <c r="G32" s="17" t="s">
        <v>761</v>
      </c>
    </row>
    <row r="33" customFormat="false" ht="30" hidden="false" customHeight="true" outlineLevel="0" collapsed="false">
      <c r="B33" s="10" t="s">
        <v>20</v>
      </c>
      <c r="C33" s="10" t="s">
        <v>511</v>
      </c>
      <c r="D33" s="10" t="s">
        <v>762</v>
      </c>
      <c r="E33" s="11" t="s">
        <v>706</v>
      </c>
      <c r="F33" s="10" t="s">
        <v>763</v>
      </c>
      <c r="G33" s="10" t="s">
        <v>764</v>
      </c>
    </row>
    <row r="34" customFormat="false" ht="30" hidden="false" customHeight="true" outlineLevel="0" collapsed="false">
      <c r="B34" s="17" t="s">
        <v>20</v>
      </c>
      <c r="C34" s="17" t="s">
        <v>765</v>
      </c>
      <c r="D34" s="17" t="s">
        <v>766</v>
      </c>
      <c r="E34" s="18" t="s">
        <v>767</v>
      </c>
      <c r="F34" s="17" t="s">
        <v>768</v>
      </c>
      <c r="G34" s="17" t="s">
        <v>739</v>
      </c>
    </row>
    <row r="35" customFormat="false" ht="30" hidden="false" customHeight="true" outlineLevel="0" collapsed="false">
      <c r="B35" s="10" t="s">
        <v>20</v>
      </c>
      <c r="C35" s="10" t="s">
        <v>769</v>
      </c>
      <c r="D35" s="10" t="s">
        <v>770</v>
      </c>
      <c r="E35" s="11" t="s">
        <v>692</v>
      </c>
      <c r="F35" s="10" t="s">
        <v>771</v>
      </c>
      <c r="G35" s="10" t="s">
        <v>772</v>
      </c>
    </row>
    <row r="36" customFormat="false" ht="30" hidden="false" customHeight="true" outlineLevel="0" collapsed="false">
      <c r="B36" s="17" t="s">
        <v>21</v>
      </c>
      <c r="C36" s="17" t="s">
        <v>561</v>
      </c>
      <c r="D36" s="17" t="s">
        <v>773</v>
      </c>
      <c r="E36" s="18" t="s">
        <v>697</v>
      </c>
      <c r="F36" s="17" t="s">
        <v>774</v>
      </c>
      <c r="G36" s="17" t="s">
        <v>739</v>
      </c>
    </row>
    <row r="37" customFormat="false" ht="30" hidden="false" customHeight="true" outlineLevel="0" collapsed="false">
      <c r="B37" s="10" t="s">
        <v>21</v>
      </c>
      <c r="C37" s="10" t="s">
        <v>775</v>
      </c>
      <c r="D37" s="10" t="s">
        <v>776</v>
      </c>
      <c r="E37" s="11" t="s">
        <v>671</v>
      </c>
      <c r="F37" s="10" t="s">
        <v>777</v>
      </c>
      <c r="G37" s="10" t="s">
        <v>778</v>
      </c>
    </row>
    <row r="38" customFormat="false" ht="30" hidden="false" customHeight="true" outlineLevel="0" collapsed="false">
      <c r="B38" s="17" t="s">
        <v>21</v>
      </c>
      <c r="C38" s="17" t="s">
        <v>779</v>
      </c>
      <c r="D38" s="17" t="s">
        <v>780</v>
      </c>
      <c r="E38" s="18" t="s">
        <v>781</v>
      </c>
      <c r="F38" s="17" t="s">
        <v>782</v>
      </c>
      <c r="G38" s="17" t="s">
        <v>783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6" min="6" style="0" width="16"/>
  </cols>
  <sheetData>
    <row r="2" customFormat="false" ht="16.15" hidden="false" customHeight="true" outlineLevel="0" collapsed="false">
      <c r="B2" s="13" t="s">
        <v>784</v>
      </c>
      <c r="C2" s="13"/>
      <c r="D2" s="13"/>
      <c r="E2" s="13"/>
      <c r="F2" s="13"/>
    </row>
    <row r="4" customFormat="false" ht="15" hidden="false" customHeight="false" outlineLevel="0" collapsed="false">
      <c r="B4" s="9" t="s">
        <v>22</v>
      </c>
      <c r="C4" s="9" t="s">
        <v>785</v>
      </c>
      <c r="D4" s="9" t="s">
        <v>786</v>
      </c>
      <c r="E4" s="9" t="s">
        <v>787</v>
      </c>
      <c r="F4" s="9" t="s">
        <v>788</v>
      </c>
    </row>
    <row r="5" customFormat="false" ht="36" hidden="false" customHeight="true" outlineLevel="0" collapsed="false">
      <c r="B5" s="11" t="s">
        <v>789</v>
      </c>
      <c r="C5" s="10" t="s">
        <v>790</v>
      </c>
      <c r="D5" s="10" t="s">
        <v>791</v>
      </c>
      <c r="E5" s="10" t="s">
        <v>792</v>
      </c>
      <c r="F5" s="10" t="s">
        <v>793</v>
      </c>
    </row>
    <row r="6" customFormat="false" ht="36" hidden="false" customHeight="true" outlineLevel="0" collapsed="false">
      <c r="B6" s="18" t="s">
        <v>794</v>
      </c>
      <c r="C6" s="17" t="s">
        <v>795</v>
      </c>
      <c r="D6" s="17" t="s">
        <v>796</v>
      </c>
      <c r="E6" s="17" t="s">
        <v>797</v>
      </c>
      <c r="F6" s="17" t="s">
        <v>798</v>
      </c>
    </row>
    <row r="7" customFormat="false" ht="36" hidden="false" customHeight="true" outlineLevel="0" collapsed="false">
      <c r="B7" s="11" t="s">
        <v>744</v>
      </c>
      <c r="C7" s="10" t="s">
        <v>799</v>
      </c>
      <c r="D7" s="10" t="s">
        <v>800</v>
      </c>
      <c r="E7" s="10" t="s">
        <v>801</v>
      </c>
      <c r="F7" s="10" t="s">
        <v>802</v>
      </c>
    </row>
    <row r="8" customFormat="false" ht="36" hidden="false" customHeight="true" outlineLevel="0" collapsed="false">
      <c r="B8" s="18" t="s">
        <v>706</v>
      </c>
      <c r="C8" s="17" t="s">
        <v>803</v>
      </c>
      <c r="D8" s="17" t="s">
        <v>804</v>
      </c>
      <c r="E8" s="17" t="s">
        <v>805</v>
      </c>
      <c r="F8" s="17" t="s">
        <v>806</v>
      </c>
    </row>
    <row r="9" customFormat="false" ht="36" hidden="false" customHeight="true" outlineLevel="0" collapsed="false">
      <c r="B9" s="11" t="s">
        <v>671</v>
      </c>
      <c r="C9" s="10" t="s">
        <v>807</v>
      </c>
      <c r="D9" s="10" t="s">
        <v>808</v>
      </c>
      <c r="E9" s="10" t="s">
        <v>809</v>
      </c>
      <c r="F9" s="10" t="s">
        <v>810</v>
      </c>
    </row>
    <row r="10" customFormat="false" ht="36" hidden="false" customHeight="true" outlineLevel="0" collapsed="false">
      <c r="B10" s="18" t="s">
        <v>697</v>
      </c>
      <c r="C10" s="17" t="s">
        <v>811</v>
      </c>
      <c r="D10" s="17" t="s">
        <v>812</v>
      </c>
      <c r="E10" s="17" t="s">
        <v>813</v>
      </c>
      <c r="F10" s="17" t="s">
        <v>814</v>
      </c>
    </row>
    <row r="11" customFormat="false" ht="36" hidden="false" customHeight="true" outlineLevel="0" collapsed="false">
      <c r="B11" s="11" t="s">
        <v>688</v>
      </c>
      <c r="C11" s="10" t="s">
        <v>815</v>
      </c>
      <c r="D11" s="10" t="s">
        <v>816</v>
      </c>
      <c r="E11" s="10" t="s">
        <v>817</v>
      </c>
      <c r="F11" s="10" t="s">
        <v>818</v>
      </c>
    </row>
    <row r="12" customFormat="false" ht="36" hidden="false" customHeight="true" outlineLevel="0" collapsed="false">
      <c r="B12" s="18" t="s">
        <v>675</v>
      </c>
      <c r="C12" s="17" t="s">
        <v>819</v>
      </c>
      <c r="D12" s="17" t="s">
        <v>820</v>
      </c>
      <c r="E12" s="17" t="s">
        <v>813</v>
      </c>
      <c r="F12" s="17" t="s">
        <v>821</v>
      </c>
    </row>
    <row r="13" customFormat="false" ht="36" hidden="false" customHeight="true" outlineLevel="0" collapsed="false">
      <c r="B13" s="11" t="s">
        <v>767</v>
      </c>
      <c r="C13" s="10" t="s">
        <v>822</v>
      </c>
      <c r="D13" s="10" t="s">
        <v>823</v>
      </c>
      <c r="E13" s="10" t="s">
        <v>813</v>
      </c>
      <c r="F13" s="10" t="s">
        <v>824</v>
      </c>
    </row>
    <row r="14" customFormat="false" ht="36" hidden="false" customHeight="true" outlineLevel="0" collapsed="false">
      <c r="B14" s="18" t="s">
        <v>692</v>
      </c>
      <c r="C14" s="17" t="s">
        <v>825</v>
      </c>
      <c r="D14" s="17" t="s">
        <v>826</v>
      </c>
      <c r="E14" s="17" t="s">
        <v>827</v>
      </c>
      <c r="F14" s="17" t="s">
        <v>814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2026-05-12T13:58:54Z</dcterms:created>
  <dc:creator>openpyxl</dc:creator>
  <dc:description/>
  <dc:language>en-US</dc:language>
  <cp:lastModifiedBy/>
  <dcterms:modified xsi:type="dcterms:W3CDTF">2026-05-12T13:58:54Z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